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charlottewong/Downloads/"/>
    </mc:Choice>
  </mc:AlternateContent>
  <xr:revisionPtr revIDLastSave="0" documentId="13_ncr:1_{59363D68-62B6-224E-B2AA-79AE6C6487A7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compare" sheetId="1" r:id="rId1"/>
    <sheet name="IB AA HL" sheetId="2" r:id="rId2"/>
    <sheet name="AP Calc BC" sheetId="3" r:id="rId3"/>
    <sheet name="GaoKao" sheetId="4" r:id="rId4"/>
    <sheet name="CBSE" sheetId="5" r:id="rId5"/>
    <sheet name="HKDSE" sheetId="6" r:id="rId6"/>
    <sheet name="Analysis I" sheetId="7" r:id="rId7"/>
    <sheet name="D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J26" i="8"/>
  <c r="I26" i="8"/>
  <c r="H26" i="8"/>
  <c r="G26" i="8"/>
  <c r="F26" i="8"/>
  <c r="E26" i="8"/>
  <c r="D26" i="8"/>
  <c r="C26" i="8"/>
  <c r="H20" i="7"/>
  <c r="K19" i="7"/>
  <c r="G20" i="7" s="1"/>
  <c r="J19" i="7"/>
  <c r="J20" i="7" s="1"/>
  <c r="I19" i="7"/>
  <c r="I20" i="7" s="1"/>
  <c r="H19" i="7"/>
  <c r="G19" i="7"/>
  <c r="F19" i="7"/>
  <c r="E19" i="7"/>
  <c r="E20" i="7" s="1"/>
  <c r="D19" i="7"/>
  <c r="D20" i="7" s="1"/>
  <c r="C19" i="7"/>
  <c r="C20" i="7" s="1"/>
  <c r="I52" i="6"/>
  <c r="F52" i="6"/>
  <c r="C52" i="6"/>
  <c r="J51" i="6"/>
  <c r="J52" i="6" s="1"/>
  <c r="I51" i="6"/>
  <c r="H51" i="6"/>
  <c r="G51" i="6"/>
  <c r="G52" i="6" s="1"/>
  <c r="G54" i="6" s="1"/>
  <c r="F51" i="6"/>
  <c r="E51" i="6"/>
  <c r="E52" i="6" s="1"/>
  <c r="E54" i="6" s="1"/>
  <c r="D51" i="6"/>
  <c r="K51" i="6" s="1"/>
  <c r="C51" i="6"/>
  <c r="J37" i="6"/>
  <c r="I37" i="6"/>
  <c r="H37" i="6"/>
  <c r="H52" i="6" s="1"/>
  <c r="H54" i="6" s="1"/>
  <c r="G37" i="6"/>
  <c r="F37" i="6"/>
  <c r="E37" i="6"/>
  <c r="D37" i="6"/>
  <c r="K37" i="6" s="1"/>
  <c r="G24" i="6"/>
  <c r="E24" i="6"/>
  <c r="D24" i="6"/>
  <c r="K23" i="6"/>
  <c r="J22" i="6"/>
  <c r="J24" i="6" s="1"/>
  <c r="I22" i="6"/>
  <c r="I24" i="6" s="1"/>
  <c r="H22" i="6"/>
  <c r="H24" i="6" s="1"/>
  <c r="G22" i="6"/>
  <c r="F22" i="6"/>
  <c r="F24" i="6" s="1"/>
  <c r="F54" i="6" s="1"/>
  <c r="E22" i="6"/>
  <c r="D22" i="6"/>
  <c r="C22" i="6"/>
  <c r="K22" i="6" s="1"/>
  <c r="K24" i="6" s="1"/>
  <c r="K54" i="6" s="1"/>
  <c r="I23" i="5"/>
  <c r="H23" i="5"/>
  <c r="G23" i="5"/>
  <c r="F23" i="5"/>
  <c r="E23" i="5"/>
  <c r="D23" i="5"/>
  <c r="C23" i="5"/>
  <c r="I11" i="4"/>
  <c r="H11" i="4"/>
  <c r="G11" i="4"/>
  <c r="F11" i="4"/>
  <c r="E11" i="4"/>
  <c r="D11" i="4"/>
  <c r="C11" i="4"/>
  <c r="F11" i="3"/>
  <c r="E11" i="3"/>
  <c r="D11" i="3"/>
  <c r="K10" i="3"/>
  <c r="I4" i="3"/>
  <c r="I11" i="3" s="1"/>
  <c r="H4" i="3"/>
  <c r="H11" i="3" s="1"/>
  <c r="G4" i="3"/>
  <c r="G11" i="3" s="1"/>
  <c r="F4" i="3"/>
  <c r="E4" i="3"/>
  <c r="D4" i="3"/>
  <c r="C4" i="3"/>
  <c r="C11" i="3" s="1"/>
  <c r="K3" i="3"/>
  <c r="I29" i="2"/>
  <c r="H29" i="2"/>
  <c r="G29" i="2"/>
  <c r="F29" i="2"/>
  <c r="E29" i="2"/>
  <c r="K29" i="2" s="1"/>
  <c r="D29" i="2"/>
  <c r="C29" i="2"/>
  <c r="K29" i="1"/>
  <c r="Q8" i="1"/>
  <c r="P8" i="1"/>
  <c r="O8" i="1"/>
  <c r="J8" i="1"/>
  <c r="I8" i="1"/>
  <c r="H8" i="1"/>
  <c r="G8" i="1"/>
  <c r="F8" i="1"/>
  <c r="E8" i="1"/>
  <c r="D8" i="1"/>
  <c r="C8" i="1"/>
  <c r="O3" i="2" l="1"/>
  <c r="N3" i="2"/>
  <c r="M3" i="2"/>
  <c r="G30" i="2"/>
  <c r="E30" i="2"/>
  <c r="C30" i="2"/>
  <c r="D24" i="5"/>
  <c r="D30" i="2"/>
  <c r="D12" i="3"/>
  <c r="F30" i="2"/>
  <c r="F12" i="3"/>
  <c r="C24" i="5"/>
  <c r="G24" i="5"/>
  <c r="J54" i="6"/>
  <c r="C27" i="8"/>
  <c r="I24" i="5"/>
  <c r="C54" i="6"/>
  <c r="D27" i="8"/>
  <c r="H30" i="2"/>
  <c r="E27" i="8"/>
  <c r="I30" i="2"/>
  <c r="I54" i="6"/>
  <c r="N3" i="6" s="1"/>
  <c r="G27" i="8"/>
  <c r="K11" i="3"/>
  <c r="I12" i="3" s="1"/>
  <c r="H27" i="8"/>
  <c r="G12" i="4"/>
  <c r="I27" i="8"/>
  <c r="M3" i="6"/>
  <c r="J27" i="8"/>
  <c r="D52" i="6"/>
  <c r="D54" i="6" s="1"/>
  <c r="C24" i="6"/>
  <c r="L3" i="7"/>
  <c r="F20" i="7"/>
  <c r="N3" i="7"/>
  <c r="K26" i="8"/>
  <c r="M3" i="8" s="1"/>
  <c r="K11" i="4"/>
  <c r="K4" i="3"/>
  <c r="K23" i="5"/>
  <c r="E24" i="5" s="1"/>
  <c r="N3" i="8"/>
  <c r="O3" i="8"/>
  <c r="E12" i="3" l="1"/>
  <c r="C12" i="3"/>
  <c r="N3" i="4"/>
  <c r="H12" i="4"/>
  <c r="M3" i="4"/>
  <c r="L3" i="4"/>
  <c r="E12" i="4"/>
  <c r="F12" i="4"/>
  <c r="F27" i="8"/>
  <c r="K56" i="6"/>
  <c r="L3" i="6"/>
  <c r="M3" i="5"/>
  <c r="L3" i="5"/>
  <c r="F24" i="5"/>
  <c r="H24" i="5"/>
  <c r="N3" i="5"/>
  <c r="O3" i="3"/>
  <c r="N3" i="3"/>
  <c r="M3" i="3"/>
  <c r="H12" i="3"/>
  <c r="G12" i="3"/>
</calcChain>
</file>

<file path=xl/sharedStrings.xml><?xml version="1.0" encoding="utf-8"?>
<sst xmlns="http://schemas.openxmlformats.org/spreadsheetml/2006/main" count="153" uniqueCount="59">
  <si>
    <t>A</t>
  </si>
  <si>
    <t>B</t>
  </si>
  <si>
    <t>C</t>
  </si>
  <si>
    <t>FKFS</t>
  </si>
  <si>
    <t>COMP</t>
  </si>
  <si>
    <t>RUOP</t>
  </si>
  <si>
    <t>IT</t>
  </si>
  <si>
    <t>AINS</t>
  </si>
  <si>
    <t>JI</t>
  </si>
  <si>
    <t>ICC</t>
  </si>
  <si>
    <t>EV</t>
  </si>
  <si>
    <t>IB</t>
  </si>
  <si>
    <t>AP</t>
  </si>
  <si>
    <t>Gaokao</t>
  </si>
  <si>
    <t>CBSE</t>
  </si>
  <si>
    <t xml:space="preserve">HKDSE </t>
  </si>
  <si>
    <t>average HS</t>
  </si>
  <si>
    <t>AVG HS</t>
  </si>
  <si>
    <t>DT</t>
  </si>
  <si>
    <t>Analy I</t>
  </si>
  <si>
    <t>Specimen - what it intended</t>
  </si>
  <si>
    <t>group A</t>
  </si>
  <si>
    <t>Group B</t>
  </si>
  <si>
    <t>Paper 1 Specimen</t>
  </si>
  <si>
    <t>Paper 2 Specimen</t>
  </si>
  <si>
    <t xml:space="preserve">Paper 3 </t>
  </si>
  <si>
    <t>totals</t>
  </si>
  <si>
    <t>by group</t>
  </si>
  <si>
    <t>MCQ - 2019</t>
  </si>
  <si>
    <t>scaled</t>
  </si>
  <si>
    <t>FR - 2025</t>
  </si>
  <si>
    <t>%</t>
  </si>
  <si>
    <t>MCQ -each x5</t>
  </si>
  <si>
    <t>MCQ x6</t>
  </si>
  <si>
    <t>fill in the blanks x5</t>
  </si>
  <si>
    <t>long Q ≈15.4 each</t>
  </si>
  <si>
    <t>weighted total</t>
  </si>
  <si>
    <t>Class XII 2026 version 65/1/1</t>
  </si>
  <si>
    <t>MCQ</t>
  </si>
  <si>
    <t>Assertion-Reason</t>
  </si>
  <si>
    <t>VSA x2</t>
  </si>
  <si>
    <t>SA x3</t>
  </si>
  <si>
    <t>LA x5</t>
  </si>
  <si>
    <t>Case study x4</t>
  </si>
  <si>
    <t xml:space="preserve">2025 HKDSE </t>
  </si>
  <si>
    <t>Compulsory Paper 1</t>
  </si>
  <si>
    <t>total</t>
  </si>
  <si>
    <t>35% paper 2</t>
  </si>
  <si>
    <t>Compulsory Paper 2 mcq</t>
  </si>
  <si>
    <t>COMPULSORY total</t>
  </si>
  <si>
    <t>M1</t>
  </si>
  <si>
    <t>M2</t>
  </si>
  <si>
    <t>M1 or M2 : avg extended</t>
  </si>
  <si>
    <t>GRAND TOTAL AVG</t>
  </si>
  <si>
    <t xml:space="preserve">Analysis I </t>
  </si>
  <si>
    <t>EA2</t>
  </si>
  <si>
    <t>GA3</t>
  </si>
  <si>
    <t>EA4</t>
  </si>
  <si>
    <t>GA5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</si>
</sst>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9" fontId="1" fillId="0" borderId="0" xfId="0" applyNumberFormat="1" applyFont="1"/>
    <xf numFmtId="0" fontId="3" fillId="0" borderId="0" xfId="0" applyFont="1"/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MATH Taxonomy Analysis of 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compare!$B$3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compare!$C$3:$J$3</c:f>
              <c:numCache>
                <c:formatCode>General</c:formatCode>
                <c:ptCount val="8"/>
                <c:pt idx="0">
                  <c:v>3.2727272727272729</c:v>
                </c:pt>
                <c:pt idx="1">
                  <c:v>2.9090909090909092</c:v>
                </c:pt>
                <c:pt idx="2">
                  <c:v>57.090909090909093</c:v>
                </c:pt>
                <c:pt idx="3">
                  <c:v>6.1818181818181817</c:v>
                </c:pt>
                <c:pt idx="4">
                  <c:v>21.09090909090909</c:v>
                </c:pt>
                <c:pt idx="5">
                  <c:v>4.7272727272727275</c:v>
                </c:pt>
                <c:pt idx="6">
                  <c:v>4.7272727272727275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9B-8340-8F66-813DBCA8BED5}"/>
            </c:ext>
          </c:extLst>
        </c:ser>
        <c:ser>
          <c:idx val="1"/>
          <c:order val="1"/>
          <c:tx>
            <c:strRef>
              <c:f>compare!$B$4</c:f>
              <c:strCache>
                <c:ptCount val="1"/>
                <c:pt idx="0">
                  <c:v>AP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compare!$C$4:$J$4</c:f>
              <c:numCache>
                <c:formatCode>General</c:formatCode>
                <c:ptCount val="8"/>
                <c:pt idx="0">
                  <c:v>4.0740740740740753</c:v>
                </c:pt>
                <c:pt idx="1">
                  <c:v>15.555555555555555</c:v>
                </c:pt>
                <c:pt idx="2">
                  <c:v>62.037037037037045</c:v>
                </c:pt>
                <c:pt idx="3">
                  <c:v>5.5555555555555562</c:v>
                </c:pt>
                <c:pt idx="4">
                  <c:v>3.3333333333333335</c:v>
                </c:pt>
                <c:pt idx="5">
                  <c:v>5.5555555555555562</c:v>
                </c:pt>
                <c:pt idx="6">
                  <c:v>3.8888888888888897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9B-8340-8F66-813DBCA8BED5}"/>
            </c:ext>
          </c:extLst>
        </c:ser>
        <c:ser>
          <c:idx val="2"/>
          <c:order val="2"/>
          <c:tx>
            <c:strRef>
              <c:f>compare!$B$5</c:f>
              <c:strCache>
                <c:ptCount val="1"/>
                <c:pt idx="0">
                  <c:v>Gaokao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compare!$C$5:$J$5</c:f>
              <c:numCache>
                <c:formatCode>General</c:formatCode>
                <c:ptCount val="8"/>
                <c:pt idx="0">
                  <c:v>6.666666666666667</c:v>
                </c:pt>
                <c:pt idx="1">
                  <c:v>0</c:v>
                </c:pt>
                <c:pt idx="2">
                  <c:v>27.333333333333332</c:v>
                </c:pt>
                <c:pt idx="3">
                  <c:v>4</c:v>
                </c:pt>
                <c:pt idx="4">
                  <c:v>31.2</c:v>
                </c:pt>
                <c:pt idx="5">
                  <c:v>30.8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9B-8340-8F66-813DBCA8BED5}"/>
            </c:ext>
          </c:extLst>
        </c:ser>
        <c:ser>
          <c:idx val="3"/>
          <c:order val="3"/>
          <c:tx>
            <c:strRef>
              <c:f>compare!$B$6</c:f>
              <c:strCache>
                <c:ptCount val="1"/>
                <c:pt idx="0">
                  <c:v>CBSE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compare!$C$6:$J$6</c:f>
              <c:numCache>
                <c:formatCode>General</c:formatCode>
                <c:ptCount val="8"/>
                <c:pt idx="0">
                  <c:v>16.455696202531644</c:v>
                </c:pt>
                <c:pt idx="1">
                  <c:v>3.79746835443038</c:v>
                </c:pt>
                <c:pt idx="2">
                  <c:v>62.025316455696199</c:v>
                </c:pt>
                <c:pt idx="3">
                  <c:v>6.3291139240506329</c:v>
                </c:pt>
                <c:pt idx="4">
                  <c:v>2.5316455696202533</c:v>
                </c:pt>
                <c:pt idx="5">
                  <c:v>6.3291139240506329</c:v>
                </c:pt>
                <c:pt idx="6">
                  <c:v>2.5316455696202533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19B-8340-8F66-813DBCA8BED5}"/>
            </c:ext>
          </c:extLst>
        </c:ser>
        <c:ser>
          <c:idx val="4"/>
          <c:order val="4"/>
          <c:tx>
            <c:strRef>
              <c:f>compare!$B$7</c:f>
              <c:strCache>
                <c:ptCount val="1"/>
                <c:pt idx="0">
                  <c:v>HKDSE 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compare!$C$7:$J$7</c:f>
              <c:numCache>
                <c:formatCode>General</c:formatCode>
                <c:ptCount val="8"/>
                <c:pt idx="0">
                  <c:v>4.1825396825396828</c:v>
                </c:pt>
                <c:pt idx="1">
                  <c:v>6.4722222222222223</c:v>
                </c:pt>
                <c:pt idx="2">
                  <c:v>77.587301587301596</c:v>
                </c:pt>
                <c:pt idx="3">
                  <c:v>0</c:v>
                </c:pt>
                <c:pt idx="4">
                  <c:v>3.75</c:v>
                </c:pt>
                <c:pt idx="5">
                  <c:v>8.0079365079365079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19B-8340-8F66-813DBCA8BED5}"/>
            </c:ext>
          </c:extLst>
        </c:ser>
        <c:ser>
          <c:idx val="5"/>
          <c:order val="5"/>
          <c:tx>
            <c:strRef>
              <c:f>compare!$B$8</c:f>
              <c:strCache>
                <c:ptCount val="1"/>
                <c:pt idx="0">
                  <c:v>AVG HS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compare!$C$8:$J$8</c:f>
              <c:numCache>
                <c:formatCode>General</c:formatCode>
                <c:ptCount val="8"/>
                <c:pt idx="0">
                  <c:v>6.9303407797078673</c:v>
                </c:pt>
                <c:pt idx="1">
                  <c:v>5.7468674082598126</c:v>
                </c:pt>
                <c:pt idx="2">
                  <c:v>57.214779500855457</c:v>
                </c:pt>
                <c:pt idx="3">
                  <c:v>4.413297532284874</c:v>
                </c:pt>
                <c:pt idx="4">
                  <c:v>12.381177598772535</c:v>
                </c:pt>
                <c:pt idx="5">
                  <c:v>11.083975742963085</c:v>
                </c:pt>
                <c:pt idx="6">
                  <c:v>2.2295614371563746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19B-8340-8F66-813DBCA8BED5}"/>
            </c:ext>
          </c:extLst>
        </c:ser>
        <c:ser>
          <c:idx val="6"/>
          <c:order val="6"/>
          <c:tx>
            <c:strRef>
              <c:f>compare!$B$9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compare!$C$9:$J$9</c:f>
              <c:numCache>
                <c:formatCode>General</c:formatCode>
                <c:ptCount val="8"/>
                <c:pt idx="0">
                  <c:v>17.391304347826086</c:v>
                </c:pt>
                <c:pt idx="1">
                  <c:v>13.043478260869565</c:v>
                </c:pt>
                <c:pt idx="2">
                  <c:v>56.521739130434781</c:v>
                </c:pt>
                <c:pt idx="3">
                  <c:v>0</c:v>
                </c:pt>
                <c:pt idx="4">
                  <c:v>8.695652173913043</c:v>
                </c:pt>
                <c:pt idx="5">
                  <c:v>4.3478260869565215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19B-8340-8F66-813DBCA8BED5}"/>
            </c:ext>
          </c:extLst>
        </c:ser>
        <c:ser>
          <c:idx val="7"/>
          <c:order val="7"/>
          <c:tx>
            <c:strRef>
              <c:f>compare!$B$10</c:f>
              <c:strCache>
                <c:ptCount val="1"/>
                <c:pt idx="0">
                  <c:v>Analy I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compare!$C$10:$J$10</c:f>
              <c:numCache>
                <c:formatCode>General</c:formatCode>
                <c:ptCount val="8"/>
                <c:pt idx="0">
                  <c:v>0</c:v>
                </c:pt>
                <c:pt idx="1">
                  <c:v>3.75</c:v>
                </c:pt>
                <c:pt idx="2">
                  <c:v>37.5</c:v>
                </c:pt>
                <c:pt idx="3">
                  <c:v>0</c:v>
                </c:pt>
                <c:pt idx="4">
                  <c:v>0</c:v>
                </c:pt>
                <c:pt idx="5">
                  <c:v>55.000000000000007</c:v>
                </c:pt>
                <c:pt idx="6">
                  <c:v>3.75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19B-8340-8F66-813DBCA8B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877290"/>
        <c:axId val="669255665"/>
      </c:barChart>
      <c:catAx>
        <c:axId val="838877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9255665"/>
        <c:crosses val="autoZero"/>
        <c:auto val="1"/>
        <c:lblAlgn val="ctr"/>
        <c:lblOffset val="100"/>
        <c:noMultiLvlLbl val="1"/>
      </c:catAx>
      <c:valAx>
        <c:axId val="669255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88772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Average High School VS Diagnostic Test VS Analysis I Taxonomy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compare!$A$8:$B$8</c:f>
              <c:strCache>
                <c:ptCount val="2"/>
                <c:pt idx="0">
                  <c:v>average HS</c:v>
                </c:pt>
                <c:pt idx="1">
                  <c:v>AVG HS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compare!$C$8:$J$8</c:f>
              <c:numCache>
                <c:formatCode>General</c:formatCode>
                <c:ptCount val="8"/>
                <c:pt idx="0">
                  <c:v>6.9303407797078673</c:v>
                </c:pt>
                <c:pt idx="1">
                  <c:v>5.7468674082598126</c:v>
                </c:pt>
                <c:pt idx="2">
                  <c:v>57.214779500855457</c:v>
                </c:pt>
                <c:pt idx="3">
                  <c:v>4.413297532284874</c:v>
                </c:pt>
                <c:pt idx="4">
                  <c:v>12.381177598772535</c:v>
                </c:pt>
                <c:pt idx="5">
                  <c:v>11.083975742963085</c:v>
                </c:pt>
                <c:pt idx="6">
                  <c:v>2.2295614371563746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EF-8148-A5A1-077E7AD615A2}"/>
            </c:ext>
          </c:extLst>
        </c:ser>
        <c:ser>
          <c:idx val="1"/>
          <c:order val="1"/>
          <c:tx>
            <c:strRef>
              <c:f>compare!$A$9:$B$9</c:f>
              <c:strCache>
                <c:ptCount val="2"/>
                <c:pt idx="0">
                  <c:v>average HS</c:v>
                </c:pt>
                <c:pt idx="1">
                  <c:v>DT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compare!$C$9:$J$9</c:f>
              <c:numCache>
                <c:formatCode>General</c:formatCode>
                <c:ptCount val="8"/>
                <c:pt idx="0">
                  <c:v>17.391304347826086</c:v>
                </c:pt>
                <c:pt idx="1">
                  <c:v>13.043478260869565</c:v>
                </c:pt>
                <c:pt idx="2">
                  <c:v>56.521739130434781</c:v>
                </c:pt>
                <c:pt idx="3">
                  <c:v>0</c:v>
                </c:pt>
                <c:pt idx="4">
                  <c:v>8.695652173913043</c:v>
                </c:pt>
                <c:pt idx="5">
                  <c:v>4.3478260869565215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EF-8148-A5A1-077E7AD615A2}"/>
            </c:ext>
          </c:extLst>
        </c:ser>
        <c:ser>
          <c:idx val="2"/>
          <c:order val="2"/>
          <c:tx>
            <c:strRef>
              <c:f>compare!$A$10:$B$10</c:f>
              <c:strCache>
                <c:ptCount val="2"/>
                <c:pt idx="0">
                  <c:v>average HS</c:v>
                </c:pt>
                <c:pt idx="1">
                  <c:v>Analy I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compare!$C$10:$J$10</c:f>
              <c:numCache>
                <c:formatCode>General</c:formatCode>
                <c:ptCount val="8"/>
                <c:pt idx="0">
                  <c:v>0</c:v>
                </c:pt>
                <c:pt idx="1">
                  <c:v>3.75</c:v>
                </c:pt>
                <c:pt idx="2">
                  <c:v>37.5</c:v>
                </c:pt>
                <c:pt idx="3">
                  <c:v>0</c:v>
                </c:pt>
                <c:pt idx="4">
                  <c:v>0</c:v>
                </c:pt>
                <c:pt idx="5">
                  <c:v>55.000000000000007</c:v>
                </c:pt>
                <c:pt idx="6">
                  <c:v>3.75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1EF-8148-A5A1-077E7AD61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388834"/>
        <c:axId val="1387335797"/>
      </c:barChart>
      <c:catAx>
        <c:axId val="700388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7335797"/>
        <c:crosses val="autoZero"/>
        <c:auto val="1"/>
        <c:lblAlgn val="ctr"/>
        <c:lblOffset val="100"/>
        <c:noMultiLvlLbl val="1"/>
      </c:catAx>
      <c:valAx>
        <c:axId val="1387335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3888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Taxonomy Analysis for High Schools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compare!$A$3:$B$3</c:f>
              <c:strCache>
                <c:ptCount val="2"/>
                <c:pt idx="1">
                  <c:v>IB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compare!$C$3:$J$3</c:f>
              <c:numCache>
                <c:formatCode>General</c:formatCode>
                <c:ptCount val="8"/>
                <c:pt idx="0">
                  <c:v>3.2727272727272729</c:v>
                </c:pt>
                <c:pt idx="1">
                  <c:v>2.9090909090909092</c:v>
                </c:pt>
                <c:pt idx="2">
                  <c:v>57.090909090909093</c:v>
                </c:pt>
                <c:pt idx="3">
                  <c:v>6.1818181818181817</c:v>
                </c:pt>
                <c:pt idx="4">
                  <c:v>21.09090909090909</c:v>
                </c:pt>
                <c:pt idx="5">
                  <c:v>4.7272727272727275</c:v>
                </c:pt>
                <c:pt idx="6">
                  <c:v>4.7272727272727275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AA-2D4C-AC73-733E881A0F1E}"/>
            </c:ext>
          </c:extLst>
        </c:ser>
        <c:ser>
          <c:idx val="1"/>
          <c:order val="1"/>
          <c:tx>
            <c:strRef>
              <c:f>compare!$A$4:$B$4</c:f>
              <c:strCache>
                <c:ptCount val="2"/>
                <c:pt idx="1">
                  <c:v>AP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compare!$C$4:$J$4</c:f>
              <c:numCache>
                <c:formatCode>General</c:formatCode>
                <c:ptCount val="8"/>
                <c:pt idx="0">
                  <c:v>4.0740740740740753</c:v>
                </c:pt>
                <c:pt idx="1">
                  <c:v>15.555555555555555</c:v>
                </c:pt>
                <c:pt idx="2">
                  <c:v>62.037037037037045</c:v>
                </c:pt>
                <c:pt idx="3">
                  <c:v>5.5555555555555562</c:v>
                </c:pt>
                <c:pt idx="4">
                  <c:v>3.3333333333333335</c:v>
                </c:pt>
                <c:pt idx="5">
                  <c:v>5.5555555555555562</c:v>
                </c:pt>
                <c:pt idx="6">
                  <c:v>3.8888888888888897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AA-2D4C-AC73-733E881A0F1E}"/>
            </c:ext>
          </c:extLst>
        </c:ser>
        <c:ser>
          <c:idx val="2"/>
          <c:order val="2"/>
          <c:tx>
            <c:strRef>
              <c:f>compare!$A$5:$B$5</c:f>
              <c:strCache>
                <c:ptCount val="2"/>
                <c:pt idx="1">
                  <c:v>Gaokao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compare!$C$5:$J$5</c:f>
              <c:numCache>
                <c:formatCode>General</c:formatCode>
                <c:ptCount val="8"/>
                <c:pt idx="0">
                  <c:v>6.666666666666667</c:v>
                </c:pt>
                <c:pt idx="1">
                  <c:v>0</c:v>
                </c:pt>
                <c:pt idx="2">
                  <c:v>27.333333333333332</c:v>
                </c:pt>
                <c:pt idx="3">
                  <c:v>4</c:v>
                </c:pt>
                <c:pt idx="4">
                  <c:v>31.2</c:v>
                </c:pt>
                <c:pt idx="5">
                  <c:v>30.8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AA-2D4C-AC73-733E881A0F1E}"/>
            </c:ext>
          </c:extLst>
        </c:ser>
        <c:ser>
          <c:idx val="3"/>
          <c:order val="3"/>
          <c:tx>
            <c:strRef>
              <c:f>compare!$A$6:$B$6</c:f>
              <c:strCache>
                <c:ptCount val="2"/>
                <c:pt idx="1">
                  <c:v>CBSE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compare!$C$6:$J$6</c:f>
              <c:numCache>
                <c:formatCode>General</c:formatCode>
                <c:ptCount val="8"/>
                <c:pt idx="0">
                  <c:v>16.455696202531644</c:v>
                </c:pt>
                <c:pt idx="1">
                  <c:v>3.79746835443038</c:v>
                </c:pt>
                <c:pt idx="2">
                  <c:v>62.025316455696199</c:v>
                </c:pt>
                <c:pt idx="3">
                  <c:v>6.3291139240506329</c:v>
                </c:pt>
                <c:pt idx="4">
                  <c:v>2.5316455696202533</c:v>
                </c:pt>
                <c:pt idx="5">
                  <c:v>6.3291139240506329</c:v>
                </c:pt>
                <c:pt idx="6">
                  <c:v>2.5316455696202533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CAA-2D4C-AC73-733E881A0F1E}"/>
            </c:ext>
          </c:extLst>
        </c:ser>
        <c:ser>
          <c:idx val="4"/>
          <c:order val="4"/>
          <c:tx>
            <c:strRef>
              <c:f>compare!$A$7:$B$7</c:f>
              <c:strCache>
                <c:ptCount val="2"/>
                <c:pt idx="1">
                  <c:v>HKDSE 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1"/>
          <c:cat>
            <c:strRef>
              <c:f>compare!$C$2:$J$2</c:f>
              <c:strCache>
                <c:ptCount val="8"/>
                <c:pt idx="0">
                  <c:v>FKFS</c:v>
                </c:pt>
                <c:pt idx="1">
                  <c:v>COMP</c:v>
                </c:pt>
                <c:pt idx="2">
                  <c:v>RUOP</c:v>
                </c:pt>
                <c:pt idx="3">
                  <c:v>IT</c:v>
                </c:pt>
                <c:pt idx="4">
                  <c:v>AINS</c:v>
                </c:pt>
                <c:pt idx="5">
                  <c:v>JI</c:v>
                </c:pt>
                <c:pt idx="6">
                  <c:v>ICC</c:v>
                </c:pt>
                <c:pt idx="7">
                  <c:v>EV</c:v>
                </c:pt>
              </c:strCache>
            </c:strRef>
          </c:cat>
          <c:val>
            <c:numRef>
              <c:f>compare!$C$7:$J$7</c:f>
              <c:numCache>
                <c:formatCode>General</c:formatCode>
                <c:ptCount val="8"/>
                <c:pt idx="0">
                  <c:v>4.1825396825396828</c:v>
                </c:pt>
                <c:pt idx="1">
                  <c:v>6.4722222222222223</c:v>
                </c:pt>
                <c:pt idx="2">
                  <c:v>77.587301587301596</c:v>
                </c:pt>
                <c:pt idx="3">
                  <c:v>0</c:v>
                </c:pt>
                <c:pt idx="4">
                  <c:v>3.75</c:v>
                </c:pt>
                <c:pt idx="5">
                  <c:v>8.0079365079365079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CAA-2D4C-AC73-733E881A0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992189"/>
        <c:axId val="203142278"/>
      </c:barChart>
      <c:catAx>
        <c:axId val="1299992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142278"/>
        <c:crosses val="autoZero"/>
        <c:auto val="1"/>
        <c:lblAlgn val="ctr"/>
        <c:lblOffset val="100"/>
        <c:noMultiLvlLbl val="1"/>
      </c:catAx>
      <c:valAx>
        <c:axId val="203142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99921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Taxonomy Analysis Of All By Question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compare!$N$3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compare!$O$3:$Q$3</c:f>
              <c:numCache>
                <c:formatCode>General</c:formatCode>
                <c:ptCount val="3"/>
                <c:pt idx="0">
                  <c:v>63.272727272727266</c:v>
                </c:pt>
                <c:pt idx="1">
                  <c:v>27.27272727272727</c:v>
                </c:pt>
                <c:pt idx="2">
                  <c:v>18.90909090909091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7A-C44B-A623-425DA641FB5C}"/>
            </c:ext>
          </c:extLst>
        </c:ser>
        <c:ser>
          <c:idx val="1"/>
          <c:order val="1"/>
          <c:tx>
            <c:strRef>
              <c:f>compare!$N$4</c:f>
              <c:strCache>
                <c:ptCount val="1"/>
                <c:pt idx="0">
                  <c:v>AP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compare!$O$4:$Q$4</c:f>
              <c:numCache>
                <c:formatCode>General</c:formatCode>
                <c:ptCount val="3"/>
                <c:pt idx="0">
                  <c:v>81.666666666666671</c:v>
                </c:pt>
                <c:pt idx="1">
                  <c:v>8.8888888888888893</c:v>
                </c:pt>
                <c:pt idx="2">
                  <c:v>9.4444444444444464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7A-C44B-A623-425DA641FB5C}"/>
            </c:ext>
          </c:extLst>
        </c:ser>
        <c:ser>
          <c:idx val="2"/>
          <c:order val="2"/>
          <c:tx>
            <c:strRef>
              <c:f>compare!$N$5</c:f>
              <c:strCache>
                <c:ptCount val="1"/>
                <c:pt idx="0">
                  <c:v>Gaokao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compare!$O$5:$Q$5</c:f>
              <c:numCache>
                <c:formatCode>General</c:formatCode>
                <c:ptCount val="3"/>
                <c:pt idx="0">
                  <c:v>34</c:v>
                </c:pt>
                <c:pt idx="1">
                  <c:v>35.199999999999996</c:v>
                </c:pt>
                <c:pt idx="2">
                  <c:v>30.8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97A-C44B-A623-425DA641FB5C}"/>
            </c:ext>
          </c:extLst>
        </c:ser>
        <c:ser>
          <c:idx val="3"/>
          <c:order val="3"/>
          <c:tx>
            <c:strRef>
              <c:f>compare!$N$6</c:f>
              <c:strCache>
                <c:ptCount val="1"/>
                <c:pt idx="0">
                  <c:v>CBSE</c:v>
                </c:pt>
              </c:strCache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compare!$O$6:$Q$6</c:f>
              <c:numCache>
                <c:formatCode>General</c:formatCode>
                <c:ptCount val="3"/>
                <c:pt idx="0">
                  <c:v>82.278481012658233</c:v>
                </c:pt>
                <c:pt idx="1">
                  <c:v>8.8607594936708853</c:v>
                </c:pt>
                <c:pt idx="2">
                  <c:v>8.8607594936708853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97A-C44B-A623-425DA641FB5C}"/>
            </c:ext>
          </c:extLst>
        </c:ser>
        <c:ser>
          <c:idx val="4"/>
          <c:order val="4"/>
          <c:tx>
            <c:strRef>
              <c:f>compare!$N$7</c:f>
              <c:strCache>
                <c:ptCount val="1"/>
                <c:pt idx="0">
                  <c:v>HKDSE </c:v>
                </c:pt>
              </c:strCache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compare!$O$7:$Q$7</c:f>
              <c:numCache>
                <c:formatCode>General</c:formatCode>
                <c:ptCount val="3"/>
                <c:pt idx="0">
                  <c:v>88.242063492063494</c:v>
                </c:pt>
                <c:pt idx="1">
                  <c:v>3.75</c:v>
                </c:pt>
                <c:pt idx="2">
                  <c:v>8.0079365079365079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97A-C44B-A623-425DA641FB5C}"/>
            </c:ext>
          </c:extLst>
        </c:ser>
        <c:ser>
          <c:idx val="5"/>
          <c:order val="5"/>
          <c:tx>
            <c:strRef>
              <c:f>compare!$N$8</c:f>
              <c:strCache>
                <c:ptCount val="1"/>
                <c:pt idx="0">
                  <c:v>AVG HS</c:v>
                </c:pt>
              </c:strCache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compare!$O$8:$Q$8</c:f>
              <c:numCache>
                <c:formatCode>General</c:formatCode>
                <c:ptCount val="3"/>
                <c:pt idx="0">
                  <c:v>69.891987688823136</c:v>
                </c:pt>
                <c:pt idx="1">
                  <c:v>16.794475131057407</c:v>
                </c:pt>
                <c:pt idx="2">
                  <c:v>15.20444627102855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97A-C44B-A623-425DA641FB5C}"/>
            </c:ext>
          </c:extLst>
        </c:ser>
        <c:ser>
          <c:idx val="6"/>
          <c:order val="6"/>
          <c:tx>
            <c:strRef>
              <c:f>compare!$N$9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compare!$O$9:$Q$9</c:f>
              <c:numCache>
                <c:formatCode>General</c:formatCode>
                <c:ptCount val="3"/>
                <c:pt idx="0">
                  <c:v>86.956521739130437</c:v>
                </c:pt>
                <c:pt idx="1">
                  <c:v>8.695652173913043</c:v>
                </c:pt>
                <c:pt idx="2">
                  <c:v>4.3478260869565215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97A-C44B-A623-425DA641FB5C}"/>
            </c:ext>
          </c:extLst>
        </c:ser>
        <c:ser>
          <c:idx val="7"/>
          <c:order val="7"/>
          <c:tx>
            <c:strRef>
              <c:f>compare!$N$10</c:f>
              <c:strCache>
                <c:ptCount val="1"/>
                <c:pt idx="0">
                  <c:v>Analy I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compare!$O$10:$Q$10</c:f>
              <c:numCache>
                <c:formatCode>General</c:formatCode>
                <c:ptCount val="3"/>
                <c:pt idx="0">
                  <c:v>41.25</c:v>
                </c:pt>
                <c:pt idx="1">
                  <c:v>0</c:v>
                </c:pt>
                <c:pt idx="2">
                  <c:v>58.75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97A-C44B-A623-425DA641FB5C}"/>
            </c:ext>
          </c:extLst>
        </c:ser>
        <c:ser>
          <c:idx val="8"/>
          <c:order val="8"/>
          <c:tx>
            <c:strRef>
              <c:f>compare!$N$11</c:f>
              <c:strCache>
                <c:ptCount val="1"/>
              </c:strCache>
            </c:strRef>
          </c:tx>
          <c:invertIfNegative val="1"/>
          <c:cat>
            <c:strRef>
              <c:f>compare!$O$2:$Q$2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compare!$O$11:$Q$11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E97A-C44B-A623-425DA641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188495"/>
        <c:axId val="1949968379"/>
      </c:barChart>
      <c:catAx>
        <c:axId val="76918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9968379"/>
        <c:crosses val="autoZero"/>
        <c:auto val="1"/>
        <c:lblAlgn val="ctr"/>
        <c:lblOffset val="100"/>
        <c:noMultiLvlLbl val="1"/>
      </c:catAx>
      <c:valAx>
        <c:axId val="1949968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91884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14</xdr:row>
      <xdr:rowOff>9525</xdr:rowOff>
    </xdr:from>
    <xdr:ext cx="5162550" cy="30099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209550</xdr:colOff>
      <xdr:row>14</xdr:row>
      <xdr:rowOff>9525</xdr:rowOff>
    </xdr:from>
    <xdr:ext cx="5162550" cy="30099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647700</xdr:colOff>
      <xdr:row>29</xdr:row>
      <xdr:rowOff>180975</xdr:rowOff>
    </xdr:from>
    <xdr:ext cx="5162550" cy="30099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209550</xdr:colOff>
      <xdr:row>29</xdr:row>
      <xdr:rowOff>180975</xdr:rowOff>
    </xdr:from>
    <xdr:ext cx="5162550" cy="30099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6"/>
  <sheetViews>
    <sheetView tabSelected="1" workbookViewId="0">
      <selection activeCell="K9" sqref="K9"/>
    </sheetView>
  </sheetViews>
  <sheetFormatPr baseColWidth="10" defaultColWidth="12.6640625" defaultRowHeight="15.75" customHeight="1" x14ac:dyDescent="0.15"/>
  <cols>
    <col min="2" max="2" width="7.33203125" customWidth="1"/>
    <col min="3" max="3" width="8.1640625" customWidth="1"/>
    <col min="4" max="4" width="8.5" customWidth="1"/>
    <col min="5" max="5" width="8.33203125" customWidth="1"/>
    <col min="6" max="6" width="7.1640625" customWidth="1"/>
    <col min="7" max="7" width="7.83203125" customWidth="1"/>
    <col min="8" max="8" width="6.1640625" customWidth="1"/>
    <col min="9" max="9" width="7.6640625" customWidth="1"/>
    <col min="10" max="10" width="6" customWidth="1"/>
    <col min="11" max="11" width="11.5" customWidth="1"/>
  </cols>
  <sheetData>
    <row r="1" spans="1:23" ht="15.75" customHeight="1" x14ac:dyDescent="0.15">
      <c r="C1" s="9" t="s">
        <v>0</v>
      </c>
      <c r="D1" s="10"/>
      <c r="E1" s="10"/>
      <c r="F1" s="9" t="s">
        <v>1</v>
      </c>
      <c r="G1" s="10"/>
      <c r="H1" s="9" t="s">
        <v>2</v>
      </c>
      <c r="I1" s="10"/>
      <c r="J1" s="10"/>
    </row>
    <row r="2" spans="1:23" ht="15.75" customHeight="1" x14ac:dyDescent="0.15"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N2" s="1"/>
      <c r="O2" s="3" t="s">
        <v>0</v>
      </c>
      <c r="P2" s="3" t="s">
        <v>1</v>
      </c>
      <c r="Q2" s="3" t="s">
        <v>2</v>
      </c>
      <c r="R2" s="2"/>
      <c r="S2" s="2"/>
      <c r="T2" s="2"/>
      <c r="U2" s="2"/>
    </row>
    <row r="3" spans="1:23" ht="15.75" customHeight="1" x14ac:dyDescent="0.15">
      <c r="B3" s="2" t="s">
        <v>11</v>
      </c>
      <c r="C3" s="1">
        <v>3.2727272727272729</v>
      </c>
      <c r="D3" s="1">
        <v>2.9090909090909092</v>
      </c>
      <c r="E3" s="2">
        <v>57.090909090909093</v>
      </c>
      <c r="F3" s="1">
        <v>6.1818181818181817</v>
      </c>
      <c r="G3" s="1">
        <v>21.09090909090909</v>
      </c>
      <c r="H3" s="1">
        <v>4.7272727272727275</v>
      </c>
      <c r="I3" s="1">
        <v>4.7272727272727275</v>
      </c>
      <c r="J3" s="4">
        <v>0</v>
      </c>
      <c r="K3" s="4"/>
      <c r="N3" s="2" t="s">
        <v>11</v>
      </c>
      <c r="O3" s="3">
        <v>63.272727272727266</v>
      </c>
      <c r="P3" s="3">
        <v>27.27272727272727</v>
      </c>
      <c r="Q3" s="3">
        <v>18.90909090909091</v>
      </c>
      <c r="R3" s="1"/>
      <c r="S3" s="1"/>
      <c r="T3" s="1"/>
      <c r="U3" s="1"/>
      <c r="V3" s="4"/>
      <c r="W3" s="4"/>
    </row>
    <row r="4" spans="1:23" ht="15.75" customHeight="1" x14ac:dyDescent="0.15">
      <c r="B4" s="2" t="s">
        <v>12</v>
      </c>
      <c r="C4" s="1">
        <v>4.0740740740740753</v>
      </c>
      <c r="D4" s="1">
        <v>15.555555555555555</v>
      </c>
      <c r="E4" s="2">
        <v>62.037037037037045</v>
      </c>
      <c r="F4" s="1">
        <v>5.5555555555555562</v>
      </c>
      <c r="G4" s="2">
        <v>3.3333333333333335</v>
      </c>
      <c r="H4" s="1">
        <v>5.5555555555555562</v>
      </c>
      <c r="I4" s="1">
        <v>3.8888888888888897</v>
      </c>
      <c r="J4" s="4">
        <v>0</v>
      </c>
      <c r="K4" s="4"/>
      <c r="N4" s="2" t="s">
        <v>12</v>
      </c>
      <c r="O4" s="3">
        <v>81.666666666666671</v>
      </c>
      <c r="P4" s="3">
        <v>8.8888888888888893</v>
      </c>
      <c r="Q4" s="3">
        <v>9.4444444444444464</v>
      </c>
      <c r="R4" s="1"/>
      <c r="S4" s="2"/>
      <c r="T4" s="1"/>
      <c r="U4" s="1"/>
      <c r="V4" s="4"/>
      <c r="W4" s="4"/>
    </row>
    <row r="5" spans="1:23" ht="15.75" customHeight="1" x14ac:dyDescent="0.15">
      <c r="B5" s="2" t="s">
        <v>13</v>
      </c>
      <c r="C5" s="1">
        <v>6.666666666666667</v>
      </c>
      <c r="D5" s="1">
        <v>0</v>
      </c>
      <c r="E5" s="2">
        <v>27.333333333333332</v>
      </c>
      <c r="F5" s="1">
        <v>4</v>
      </c>
      <c r="G5" s="1">
        <v>31.2</v>
      </c>
      <c r="H5" s="1">
        <v>30.8</v>
      </c>
      <c r="I5" s="1">
        <v>0</v>
      </c>
      <c r="J5" s="4">
        <v>0</v>
      </c>
      <c r="K5" s="4"/>
      <c r="N5" s="2" t="s">
        <v>13</v>
      </c>
      <c r="O5" s="3">
        <v>34</v>
      </c>
      <c r="P5" s="3">
        <v>35.199999999999996</v>
      </c>
      <c r="Q5" s="3">
        <v>30.8</v>
      </c>
      <c r="R5" s="1"/>
      <c r="S5" s="1"/>
      <c r="T5" s="1"/>
      <c r="U5" s="1"/>
      <c r="V5" s="4"/>
      <c r="W5" s="4"/>
    </row>
    <row r="6" spans="1:23" ht="15.75" customHeight="1" x14ac:dyDescent="0.15">
      <c r="B6" s="2" t="s">
        <v>14</v>
      </c>
      <c r="C6" s="1">
        <v>16.455696202531644</v>
      </c>
      <c r="D6" s="1">
        <v>3.79746835443038</v>
      </c>
      <c r="E6" s="1">
        <v>62.025316455696199</v>
      </c>
      <c r="F6" s="2">
        <v>6.3291139240506329</v>
      </c>
      <c r="G6" s="1">
        <v>2.5316455696202533</v>
      </c>
      <c r="H6" s="1">
        <v>6.3291139240506329</v>
      </c>
      <c r="I6" s="1">
        <v>2.5316455696202533</v>
      </c>
      <c r="J6" s="4">
        <v>0</v>
      </c>
      <c r="K6" s="4"/>
      <c r="N6" s="2" t="s">
        <v>14</v>
      </c>
      <c r="O6" s="3">
        <v>82.278481012658233</v>
      </c>
      <c r="P6" s="3">
        <v>8.8607594936708853</v>
      </c>
      <c r="Q6" s="3">
        <v>8.8607594936708853</v>
      </c>
      <c r="R6" s="2"/>
      <c r="S6" s="1"/>
      <c r="T6" s="1"/>
      <c r="U6" s="1"/>
      <c r="V6" s="4"/>
      <c r="W6" s="4"/>
    </row>
    <row r="7" spans="1:23" ht="15.75" customHeight="1" x14ac:dyDescent="0.15">
      <c r="B7" s="1" t="s">
        <v>15</v>
      </c>
      <c r="C7" s="3">
        <v>4.1825396825396828</v>
      </c>
      <c r="D7" s="3">
        <v>6.4722222222222223</v>
      </c>
      <c r="E7" s="3">
        <v>77.587301587301596</v>
      </c>
      <c r="F7" s="3">
        <v>0</v>
      </c>
      <c r="G7" s="3">
        <v>3.75</v>
      </c>
      <c r="H7" s="3">
        <v>8.0079365079365079</v>
      </c>
      <c r="I7" s="3">
        <v>0</v>
      </c>
      <c r="J7" s="4">
        <v>0</v>
      </c>
      <c r="K7" s="4"/>
      <c r="N7" s="1" t="s">
        <v>15</v>
      </c>
      <c r="O7" s="3">
        <v>88.242063492063494</v>
      </c>
      <c r="P7" s="3">
        <v>3.75</v>
      </c>
      <c r="Q7" s="3">
        <v>8.0079365079365079</v>
      </c>
      <c r="V7" s="4"/>
      <c r="W7" s="4"/>
    </row>
    <row r="8" spans="1:23" ht="15.75" customHeight="1" x14ac:dyDescent="0.15">
      <c r="A8" s="3" t="s">
        <v>16</v>
      </c>
      <c r="B8" s="1" t="s">
        <v>17</v>
      </c>
      <c r="C8" s="1">
        <f t="shared" ref="C8:J8" si="0">AVERAGE(C3:C7)</f>
        <v>6.9303407797078673</v>
      </c>
      <c r="D8" s="1">
        <f t="shared" si="0"/>
        <v>5.7468674082598126</v>
      </c>
      <c r="E8" s="1">
        <f t="shared" si="0"/>
        <v>57.214779500855457</v>
      </c>
      <c r="F8" s="1">
        <f t="shared" si="0"/>
        <v>4.413297532284874</v>
      </c>
      <c r="G8" s="1">
        <f t="shared" si="0"/>
        <v>12.381177598772535</v>
      </c>
      <c r="H8" s="1">
        <f t="shared" si="0"/>
        <v>11.083975742963085</v>
      </c>
      <c r="I8" s="1">
        <f t="shared" si="0"/>
        <v>2.2295614371563746</v>
      </c>
      <c r="J8" s="1">
        <f t="shared" si="0"/>
        <v>0</v>
      </c>
      <c r="K8" s="4"/>
      <c r="N8" s="1" t="s">
        <v>17</v>
      </c>
      <c r="O8" s="3">
        <f t="shared" ref="O8:Q8" si="1">AVERAGE(O3:O7)</f>
        <v>69.891987688823136</v>
      </c>
      <c r="P8" s="3">
        <f t="shared" si="1"/>
        <v>16.794475131057407</v>
      </c>
      <c r="Q8" s="3">
        <f t="shared" si="1"/>
        <v>15.20444627102855</v>
      </c>
      <c r="R8" s="1"/>
      <c r="S8" s="1"/>
      <c r="T8" s="1"/>
      <c r="U8" s="1"/>
      <c r="V8" s="1"/>
      <c r="W8" s="4"/>
    </row>
    <row r="9" spans="1:23" ht="15.75" customHeight="1" x14ac:dyDescent="0.15">
      <c r="B9" s="1" t="s">
        <v>18</v>
      </c>
      <c r="C9" s="1">
        <v>17.391304347826086</v>
      </c>
      <c r="D9" s="1">
        <v>13.043478260869565</v>
      </c>
      <c r="E9" s="1">
        <v>56.521739130434781</v>
      </c>
      <c r="F9" s="1">
        <v>0</v>
      </c>
      <c r="G9" s="1">
        <v>8.695652173913043</v>
      </c>
      <c r="H9" s="1">
        <v>4.3478260869565215</v>
      </c>
      <c r="I9" s="1">
        <v>0</v>
      </c>
      <c r="J9" s="3">
        <v>0</v>
      </c>
      <c r="K9" s="4"/>
      <c r="N9" s="1" t="s">
        <v>18</v>
      </c>
      <c r="O9" s="3">
        <v>86.956521739130437</v>
      </c>
      <c r="P9" s="3">
        <v>8.695652173913043</v>
      </c>
      <c r="Q9" s="3">
        <v>4.3478260869565215</v>
      </c>
      <c r="R9" s="1"/>
      <c r="S9" s="1"/>
      <c r="T9" s="1"/>
      <c r="U9" s="1"/>
      <c r="W9" s="4"/>
    </row>
    <row r="10" spans="1:23" ht="15.75" customHeight="1" x14ac:dyDescent="0.15">
      <c r="B10" s="1" t="s">
        <v>19</v>
      </c>
      <c r="C10" s="1">
        <v>0</v>
      </c>
      <c r="D10" s="1">
        <v>3.75</v>
      </c>
      <c r="E10" s="1">
        <v>37.5</v>
      </c>
      <c r="F10" s="1">
        <v>0</v>
      </c>
      <c r="G10" s="1">
        <v>0</v>
      </c>
      <c r="H10" s="1">
        <v>55.000000000000007</v>
      </c>
      <c r="I10" s="1">
        <v>3.75</v>
      </c>
      <c r="J10" s="3">
        <v>0</v>
      </c>
      <c r="K10" s="4"/>
      <c r="N10" s="1" t="s">
        <v>19</v>
      </c>
      <c r="O10" s="3">
        <v>41.25</v>
      </c>
      <c r="P10" s="3">
        <v>0</v>
      </c>
      <c r="Q10" s="3">
        <v>58.75</v>
      </c>
      <c r="R10" s="1"/>
      <c r="S10" s="1"/>
      <c r="T10" s="1"/>
      <c r="U10" s="1"/>
      <c r="W10" s="4"/>
    </row>
    <row r="11" spans="1:23" ht="15.75" customHeight="1" x14ac:dyDescent="0.15">
      <c r="B11" s="1"/>
      <c r="C11" s="1"/>
      <c r="D11" s="1"/>
      <c r="E11" s="1"/>
      <c r="F11" s="1"/>
      <c r="G11" s="1"/>
      <c r="H11" s="1"/>
      <c r="I11" s="1"/>
    </row>
    <row r="12" spans="1:23" ht="15.75" customHeight="1" x14ac:dyDescent="0.15">
      <c r="B12" s="4"/>
      <c r="C12" s="4"/>
      <c r="D12" s="4"/>
      <c r="F12" s="4"/>
      <c r="G12" s="4"/>
      <c r="H12" s="4"/>
      <c r="I12" s="4"/>
    </row>
    <row r="13" spans="1:23" ht="15.75" customHeight="1" x14ac:dyDescent="0.15">
      <c r="B13" s="4"/>
      <c r="C13" s="4"/>
      <c r="D13" s="4"/>
      <c r="E13" s="4"/>
      <c r="F13" s="4"/>
      <c r="G13" s="4"/>
      <c r="H13" s="4"/>
      <c r="I13" s="4"/>
    </row>
    <row r="14" spans="1:23" ht="15.75" customHeight="1" x14ac:dyDescent="0.15">
      <c r="B14" s="4"/>
      <c r="C14" s="4"/>
      <c r="D14" s="4"/>
      <c r="E14" s="4"/>
      <c r="F14" s="4"/>
      <c r="G14" s="4"/>
      <c r="H14" s="4"/>
      <c r="I14" s="4"/>
    </row>
    <row r="15" spans="1:23" ht="15.75" customHeight="1" x14ac:dyDescent="0.15">
      <c r="B15" s="4"/>
      <c r="C15" s="4"/>
      <c r="D15" s="4"/>
      <c r="E15" s="4"/>
      <c r="F15" s="4"/>
      <c r="G15" s="4"/>
      <c r="H15" s="4"/>
      <c r="I15" s="4"/>
    </row>
    <row r="16" spans="1:23" ht="15.75" customHeight="1" x14ac:dyDescent="0.15">
      <c r="B16" s="4"/>
      <c r="C16" s="4"/>
      <c r="D16" s="4"/>
      <c r="E16" s="4"/>
      <c r="F16" s="4"/>
      <c r="G16" s="4"/>
      <c r="H16" s="4"/>
      <c r="I16" s="4"/>
    </row>
    <row r="17" spans="2:11" ht="15.75" customHeight="1" x14ac:dyDescent="0.15">
      <c r="B17" s="4"/>
      <c r="C17" s="4"/>
      <c r="D17" s="4"/>
      <c r="E17" s="4"/>
      <c r="F17" s="4"/>
      <c r="G17" s="4"/>
      <c r="H17" s="4"/>
      <c r="I17" s="4"/>
    </row>
    <row r="18" spans="2:11" ht="15.75" customHeight="1" x14ac:dyDescent="0.15">
      <c r="B18" s="4"/>
      <c r="C18" s="4"/>
      <c r="D18" s="4"/>
      <c r="E18" s="4"/>
      <c r="F18" s="4"/>
      <c r="G18" s="4"/>
      <c r="H18" s="4"/>
      <c r="I18" s="4"/>
    </row>
    <row r="19" spans="2:11" ht="15.75" customHeight="1" x14ac:dyDescent="0.15">
      <c r="B19" s="4"/>
      <c r="C19" s="4"/>
      <c r="D19" s="4"/>
      <c r="E19" s="4"/>
      <c r="F19" s="4"/>
      <c r="G19" s="4"/>
      <c r="H19" s="4"/>
      <c r="I19" s="4"/>
    </row>
    <row r="20" spans="2:11" ht="15.75" customHeight="1" x14ac:dyDescent="0.15">
      <c r="B20" s="4"/>
      <c r="C20" s="4"/>
      <c r="D20" s="4"/>
      <c r="E20" s="4"/>
      <c r="F20" s="4"/>
      <c r="G20" s="4"/>
      <c r="H20" s="4"/>
      <c r="I20" s="4"/>
    </row>
    <row r="21" spans="2:11" ht="15.75" customHeight="1" x14ac:dyDescent="0.15">
      <c r="B21" s="4"/>
      <c r="C21" s="4"/>
      <c r="D21" s="4"/>
      <c r="E21" s="4"/>
      <c r="F21" s="4"/>
      <c r="G21" s="4"/>
      <c r="H21" s="4"/>
      <c r="I21" s="4"/>
    </row>
    <row r="22" spans="2:11" ht="15.75" customHeight="1" x14ac:dyDescent="0.15">
      <c r="B22" s="4"/>
      <c r="C22" s="4"/>
      <c r="D22" s="4"/>
      <c r="E22" s="4"/>
      <c r="F22" s="4"/>
      <c r="G22" s="4"/>
      <c r="H22" s="4"/>
      <c r="I22" s="4"/>
    </row>
    <row r="23" spans="2:11" ht="15.75" customHeight="1" x14ac:dyDescent="0.15">
      <c r="B23" s="4"/>
      <c r="C23" s="4"/>
      <c r="D23" s="4"/>
      <c r="E23" s="4"/>
      <c r="F23" s="4"/>
      <c r="G23" s="4"/>
      <c r="H23" s="4"/>
      <c r="I23" s="4"/>
    </row>
    <row r="24" spans="2:11" ht="15.75" customHeight="1" x14ac:dyDescent="0.15">
      <c r="B24" s="4"/>
      <c r="C24" s="4"/>
      <c r="D24" s="4"/>
      <c r="E24" s="4"/>
      <c r="F24" s="4"/>
      <c r="G24" s="4"/>
      <c r="H24" s="4"/>
      <c r="I24" s="4"/>
    </row>
    <row r="25" spans="2:11" ht="15.75" customHeight="1" x14ac:dyDescent="0.15">
      <c r="B25" s="4"/>
      <c r="C25" s="4"/>
      <c r="D25" s="4"/>
      <c r="E25" s="4"/>
      <c r="F25" s="4"/>
      <c r="G25" s="4"/>
      <c r="H25" s="4"/>
      <c r="I25" s="4"/>
    </row>
    <row r="26" spans="2:11" ht="15.75" customHeight="1" x14ac:dyDescent="0.15">
      <c r="B26" s="4"/>
      <c r="C26" s="4"/>
      <c r="D26" s="4"/>
      <c r="E26" s="4"/>
      <c r="F26" s="4"/>
      <c r="G26" s="4"/>
      <c r="H26" s="4"/>
      <c r="I26" s="4"/>
    </row>
    <row r="27" spans="2:11" ht="15.75" customHeight="1" x14ac:dyDescent="0.15">
      <c r="B27" s="4"/>
      <c r="C27" s="4"/>
      <c r="D27" s="4"/>
      <c r="E27" s="4"/>
      <c r="F27" s="4"/>
      <c r="G27" s="4"/>
      <c r="H27" s="4"/>
      <c r="I27" s="4"/>
    </row>
    <row r="28" spans="2:11" ht="15.75" customHeight="1" x14ac:dyDescent="0.15">
      <c r="B28" s="4"/>
      <c r="C28" s="4"/>
      <c r="D28" s="4"/>
      <c r="E28" s="4"/>
      <c r="F28" s="4"/>
      <c r="G28" s="4"/>
      <c r="H28" s="4"/>
      <c r="I28" s="4"/>
    </row>
    <row r="29" spans="2:11" ht="15.75" customHeight="1" x14ac:dyDescent="0.15">
      <c r="B29" s="4"/>
      <c r="C29" s="4"/>
      <c r="D29" s="4"/>
      <c r="E29" s="4"/>
      <c r="F29" s="4"/>
      <c r="G29" s="4"/>
      <c r="H29" s="4"/>
      <c r="I29" s="4"/>
      <c r="K29" s="3">
        <f>SUM(C29:J29)</f>
        <v>0</v>
      </c>
    </row>
    <row r="30" spans="2:11" ht="15.75" customHeight="1" x14ac:dyDescent="0.15">
      <c r="B30" s="4"/>
    </row>
    <row r="31" spans="2:11" ht="15.75" customHeight="1" x14ac:dyDescent="0.15">
      <c r="B31" s="4"/>
      <c r="C31" s="4"/>
      <c r="D31" s="4"/>
      <c r="E31" s="4"/>
      <c r="F31" s="4"/>
      <c r="G31" s="4"/>
      <c r="H31" s="4"/>
      <c r="I31" s="4"/>
    </row>
    <row r="32" spans="2:11" ht="15.75" customHeight="1" x14ac:dyDescent="0.15">
      <c r="B32" s="4"/>
      <c r="C32" s="4"/>
      <c r="D32" s="4"/>
      <c r="E32" s="4"/>
      <c r="F32" s="4"/>
      <c r="G32" s="4"/>
      <c r="H32" s="4"/>
      <c r="I32" s="4"/>
    </row>
    <row r="33" spans="2:9" ht="15.75" customHeight="1" x14ac:dyDescent="0.15">
      <c r="B33" s="4"/>
      <c r="C33" s="4"/>
      <c r="D33" s="4"/>
      <c r="E33" s="4"/>
      <c r="F33" s="4"/>
      <c r="G33" s="4"/>
      <c r="H33" s="4"/>
      <c r="I33" s="4"/>
    </row>
    <row r="34" spans="2:9" ht="15.75" customHeight="1" x14ac:dyDescent="0.15">
      <c r="B34" s="4"/>
      <c r="C34" s="4"/>
      <c r="D34" s="4"/>
      <c r="E34" s="4"/>
      <c r="F34" s="4"/>
      <c r="G34" s="4"/>
      <c r="H34" s="4"/>
      <c r="I34" s="4"/>
    </row>
    <row r="35" spans="2:9" ht="15.75" customHeight="1" x14ac:dyDescent="0.15">
      <c r="B35" s="4"/>
      <c r="C35" s="4"/>
      <c r="D35" s="4"/>
      <c r="E35" s="4"/>
      <c r="F35" s="4"/>
      <c r="G35" s="4"/>
      <c r="H35" s="4"/>
      <c r="I35" s="4"/>
    </row>
    <row r="36" spans="2:9" ht="15.75" customHeight="1" x14ac:dyDescent="0.15">
      <c r="B36" s="4"/>
      <c r="C36" s="4"/>
      <c r="D36" s="4"/>
      <c r="E36" s="4"/>
      <c r="F36" s="4"/>
      <c r="G36" s="4"/>
      <c r="H36" s="4"/>
      <c r="I36" s="4"/>
    </row>
  </sheetData>
  <mergeCells count="3">
    <mergeCell ref="C1:E1"/>
    <mergeCell ref="F1:G1"/>
    <mergeCell ref="H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O36"/>
  <sheetViews>
    <sheetView workbookViewId="0"/>
  </sheetViews>
  <sheetFormatPr baseColWidth="10" defaultColWidth="12.6640625" defaultRowHeight="15.75" customHeight="1" x14ac:dyDescent="0.15"/>
  <cols>
    <col min="2" max="2" width="8.6640625" customWidth="1"/>
    <col min="3" max="3" width="8.1640625" customWidth="1"/>
    <col min="4" max="4" width="8.5" customWidth="1"/>
    <col min="5" max="5" width="8.33203125" customWidth="1"/>
    <col min="6" max="6" width="7.1640625" customWidth="1"/>
    <col min="7" max="7" width="7.83203125" customWidth="1"/>
    <col min="8" max="8" width="6.1640625" customWidth="1"/>
    <col min="9" max="9" width="7.6640625" customWidth="1"/>
    <col min="10" max="10" width="8.33203125" customWidth="1"/>
  </cols>
  <sheetData>
    <row r="2" spans="1:15" ht="15.75" customHeight="1" x14ac:dyDescent="0.15">
      <c r="A2" s="3" t="s">
        <v>20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M2" s="3" t="s">
        <v>21</v>
      </c>
      <c r="N2" s="3" t="s">
        <v>22</v>
      </c>
      <c r="O2" s="3" t="s">
        <v>2</v>
      </c>
    </row>
    <row r="3" spans="1:15" ht="15.75" customHeight="1" x14ac:dyDescent="0.15">
      <c r="A3" s="3" t="s">
        <v>23</v>
      </c>
      <c r="B3" s="2">
        <v>1</v>
      </c>
      <c r="C3" s="1"/>
      <c r="D3" s="1"/>
      <c r="E3" s="2">
        <v>5</v>
      </c>
      <c r="F3" s="1"/>
      <c r="G3" s="1"/>
      <c r="H3" s="1"/>
      <c r="I3" s="1"/>
      <c r="M3" s="3">
        <f>SUM(C3:E28)/K29*100</f>
        <v>63.272727272727266</v>
      </c>
      <c r="N3" s="3">
        <f>(SUM(F3:G28))/K29*100</f>
        <v>27.27272727272727</v>
      </c>
      <c r="O3" s="3">
        <f>SUM(H3:J29)/K29*100</f>
        <v>18.90909090909091</v>
      </c>
    </row>
    <row r="4" spans="1:15" ht="15.75" customHeight="1" x14ac:dyDescent="0.15">
      <c r="B4" s="2">
        <v>2</v>
      </c>
      <c r="C4" s="1"/>
      <c r="D4" s="1"/>
      <c r="E4" s="2">
        <v>2</v>
      </c>
      <c r="F4" s="1"/>
      <c r="G4" s="2">
        <v>3</v>
      </c>
      <c r="H4" s="1"/>
      <c r="I4" s="1"/>
    </row>
    <row r="5" spans="1:15" ht="15.75" customHeight="1" x14ac:dyDescent="0.15">
      <c r="B5" s="2">
        <v>3</v>
      </c>
      <c r="C5" s="1"/>
      <c r="D5" s="1"/>
      <c r="E5" s="2">
        <v>5</v>
      </c>
      <c r="F5" s="1"/>
      <c r="G5" s="1"/>
      <c r="H5" s="1"/>
      <c r="I5" s="1"/>
    </row>
    <row r="6" spans="1:15" ht="15.75" customHeight="1" x14ac:dyDescent="0.15">
      <c r="B6" s="2">
        <v>4</v>
      </c>
      <c r="C6" s="1"/>
      <c r="D6" s="1"/>
      <c r="E6" s="1"/>
      <c r="F6" s="2">
        <v>5</v>
      </c>
      <c r="G6" s="1"/>
      <c r="H6" s="1"/>
      <c r="I6" s="1"/>
    </row>
    <row r="7" spans="1:15" ht="15.75" customHeight="1" x14ac:dyDescent="0.15">
      <c r="B7" s="1">
        <v>5</v>
      </c>
      <c r="C7" s="1"/>
      <c r="D7" s="1"/>
      <c r="E7" s="2">
        <v>5</v>
      </c>
      <c r="F7" s="1"/>
      <c r="G7" s="1"/>
      <c r="H7" s="1"/>
      <c r="I7" s="1"/>
    </row>
    <row r="8" spans="1:15" ht="15.75" customHeight="1" x14ac:dyDescent="0.15">
      <c r="B8" s="1">
        <v>6</v>
      </c>
      <c r="C8" s="1"/>
      <c r="D8" s="1"/>
      <c r="E8" s="2">
        <v>3</v>
      </c>
      <c r="F8" s="1"/>
      <c r="G8" s="2">
        <v>5</v>
      </c>
      <c r="H8" s="1"/>
      <c r="I8" s="1"/>
    </row>
    <row r="9" spans="1:15" ht="15.75" customHeight="1" x14ac:dyDescent="0.15">
      <c r="B9" s="1">
        <v>7</v>
      </c>
      <c r="C9" s="1"/>
      <c r="D9" s="1"/>
      <c r="E9" s="1">
        <v>7</v>
      </c>
      <c r="F9" s="1"/>
      <c r="G9" s="1"/>
      <c r="H9" s="1"/>
      <c r="I9" s="1"/>
    </row>
    <row r="10" spans="1:15" ht="15.75" customHeight="1" x14ac:dyDescent="0.15">
      <c r="B10" s="1">
        <v>8</v>
      </c>
      <c r="C10" s="1"/>
      <c r="D10" s="1"/>
      <c r="E10" s="1">
        <v>7</v>
      </c>
      <c r="F10" s="1"/>
      <c r="G10" s="1"/>
      <c r="H10" s="1"/>
      <c r="I10" s="1"/>
    </row>
    <row r="11" spans="1:15" ht="15.75" customHeight="1" x14ac:dyDescent="0.15">
      <c r="B11" s="1">
        <v>9</v>
      </c>
      <c r="C11" s="1"/>
      <c r="D11" s="1"/>
      <c r="E11" s="1">
        <v>5</v>
      </c>
      <c r="F11" s="1">
        <v>3</v>
      </c>
      <c r="G11" s="1"/>
      <c r="H11" s="1"/>
      <c r="I11" s="1"/>
    </row>
    <row r="12" spans="1:15" ht="15.75" customHeight="1" x14ac:dyDescent="0.15">
      <c r="B12" s="4">
        <v>10</v>
      </c>
      <c r="C12" s="4"/>
      <c r="D12" s="4"/>
      <c r="E12" s="4">
        <v>16</v>
      </c>
      <c r="F12" s="4"/>
      <c r="G12" s="4"/>
      <c r="H12" s="4"/>
      <c r="I12" s="4"/>
    </row>
    <row r="13" spans="1:15" ht="15.75" customHeight="1" x14ac:dyDescent="0.15">
      <c r="B13" s="4">
        <v>11</v>
      </c>
      <c r="C13" s="4">
        <v>5</v>
      </c>
      <c r="D13" s="4"/>
      <c r="E13" s="4">
        <v>9</v>
      </c>
      <c r="F13" s="4"/>
      <c r="G13" s="4">
        <v>4</v>
      </c>
      <c r="H13" s="4"/>
      <c r="I13" s="4"/>
    </row>
    <row r="14" spans="1:15" ht="15.75" customHeight="1" x14ac:dyDescent="0.15">
      <c r="B14" s="4">
        <v>12</v>
      </c>
      <c r="C14" s="4"/>
      <c r="D14" s="4"/>
      <c r="E14" s="4">
        <v>12</v>
      </c>
      <c r="F14" s="4"/>
      <c r="G14" s="4">
        <v>9</v>
      </c>
      <c r="H14" s="4"/>
      <c r="I14" s="4"/>
    </row>
    <row r="15" spans="1:15" ht="15.75" customHeight="1" x14ac:dyDescent="0.15">
      <c r="A15" s="3" t="s">
        <v>24</v>
      </c>
      <c r="B15" s="4">
        <v>1</v>
      </c>
      <c r="C15" s="4"/>
      <c r="D15" s="4"/>
      <c r="E15" s="4">
        <v>6</v>
      </c>
      <c r="F15" s="4"/>
      <c r="G15" s="4"/>
      <c r="H15" s="4"/>
      <c r="I15" s="4"/>
    </row>
    <row r="16" spans="1:15" ht="15.75" customHeight="1" x14ac:dyDescent="0.15">
      <c r="B16" s="4">
        <v>2</v>
      </c>
      <c r="C16" s="4"/>
      <c r="D16" s="4"/>
      <c r="E16" s="4">
        <v>6</v>
      </c>
      <c r="F16" s="4"/>
      <c r="G16" s="4"/>
      <c r="H16" s="4"/>
      <c r="I16" s="4"/>
    </row>
    <row r="17" spans="1:11" ht="15.75" customHeight="1" x14ac:dyDescent="0.15">
      <c r="B17" s="4">
        <v>3</v>
      </c>
      <c r="C17" s="4"/>
      <c r="D17" s="4"/>
      <c r="E17" s="4">
        <v>6</v>
      </c>
      <c r="F17" s="4"/>
      <c r="G17" s="4"/>
      <c r="H17" s="4"/>
      <c r="I17" s="4"/>
    </row>
    <row r="18" spans="1:11" ht="15.75" customHeight="1" x14ac:dyDescent="0.15">
      <c r="B18" s="4">
        <v>4</v>
      </c>
      <c r="C18" s="4">
        <v>2</v>
      </c>
      <c r="D18" s="4"/>
      <c r="E18" s="4">
        <v>3</v>
      </c>
      <c r="F18" s="4"/>
      <c r="G18" s="4">
        <v>2</v>
      </c>
      <c r="H18" s="4"/>
      <c r="I18" s="4"/>
    </row>
    <row r="19" spans="1:11" ht="15.75" customHeight="1" x14ac:dyDescent="0.15">
      <c r="B19" s="4">
        <v>5</v>
      </c>
      <c r="C19" s="4"/>
      <c r="D19" s="4"/>
      <c r="E19" s="4">
        <v>7</v>
      </c>
      <c r="F19" s="4"/>
      <c r="G19" s="4"/>
      <c r="H19" s="4"/>
      <c r="I19" s="4"/>
    </row>
    <row r="20" spans="1:11" ht="15.75" customHeight="1" x14ac:dyDescent="0.15">
      <c r="B20" s="4">
        <v>6</v>
      </c>
      <c r="C20" s="4"/>
      <c r="D20" s="4">
        <v>4</v>
      </c>
      <c r="E20" s="4">
        <v>2</v>
      </c>
      <c r="F20" s="4"/>
      <c r="G20" s="4"/>
      <c r="H20" s="4"/>
      <c r="I20" s="4"/>
    </row>
    <row r="21" spans="1:11" ht="15.75" customHeight="1" x14ac:dyDescent="0.15">
      <c r="B21" s="4">
        <v>7</v>
      </c>
      <c r="C21" s="4"/>
      <c r="D21" s="4"/>
      <c r="E21" s="4"/>
      <c r="F21" s="4"/>
      <c r="G21" s="4">
        <v>5</v>
      </c>
      <c r="H21" s="4"/>
      <c r="I21" s="4"/>
    </row>
    <row r="22" spans="1:11" ht="15.75" customHeight="1" x14ac:dyDescent="0.15">
      <c r="B22" s="4">
        <v>8</v>
      </c>
      <c r="C22" s="4"/>
      <c r="D22" s="4"/>
      <c r="E22" s="4">
        <v>7</v>
      </c>
      <c r="F22" s="4"/>
      <c r="G22" s="4"/>
      <c r="H22" s="4"/>
      <c r="I22" s="4"/>
    </row>
    <row r="23" spans="1:11" ht="15.75" customHeight="1" x14ac:dyDescent="0.15">
      <c r="B23" s="4">
        <v>9</v>
      </c>
      <c r="C23" s="4"/>
      <c r="D23" s="4"/>
      <c r="E23" s="4">
        <v>5</v>
      </c>
      <c r="F23" s="4"/>
      <c r="G23" s="4"/>
      <c r="H23" s="4"/>
      <c r="I23" s="4"/>
    </row>
    <row r="24" spans="1:11" ht="15.75" customHeight="1" x14ac:dyDescent="0.15">
      <c r="B24" s="4">
        <v>10</v>
      </c>
      <c r="C24" s="4"/>
      <c r="D24" s="4"/>
      <c r="E24" s="4">
        <v>12</v>
      </c>
      <c r="F24" s="4"/>
      <c r="G24" s="4">
        <v>3</v>
      </c>
      <c r="H24" s="4"/>
      <c r="I24" s="4"/>
    </row>
    <row r="25" spans="1:11" ht="15.75" customHeight="1" x14ac:dyDescent="0.15">
      <c r="B25" s="4">
        <v>11</v>
      </c>
      <c r="C25" s="4"/>
      <c r="D25" s="4">
        <v>4</v>
      </c>
      <c r="E25" s="4">
        <v>12</v>
      </c>
      <c r="F25" s="4">
        <v>5</v>
      </c>
      <c r="G25" s="4"/>
      <c r="H25" s="4"/>
      <c r="I25" s="4"/>
    </row>
    <row r="26" spans="1:11" ht="15.75" customHeight="1" x14ac:dyDescent="0.15">
      <c r="B26" s="4">
        <v>12</v>
      </c>
      <c r="C26" s="4"/>
      <c r="D26" s="4"/>
      <c r="E26" s="4"/>
      <c r="F26" s="4"/>
      <c r="G26" s="4">
        <v>11</v>
      </c>
      <c r="H26" s="4">
        <v>8</v>
      </c>
      <c r="I26" s="4"/>
    </row>
    <row r="27" spans="1:11" ht="15.75" customHeight="1" x14ac:dyDescent="0.15">
      <c r="A27" s="3" t="s">
        <v>25</v>
      </c>
      <c r="B27" s="4">
        <v>1</v>
      </c>
      <c r="C27" s="4">
        <v>2</v>
      </c>
      <c r="D27" s="4"/>
      <c r="E27" s="4">
        <v>15</v>
      </c>
      <c r="F27" s="4"/>
      <c r="G27" s="4">
        <v>7</v>
      </c>
      <c r="H27" s="4">
        <v>1</v>
      </c>
      <c r="I27" s="4">
        <v>5</v>
      </c>
    </row>
    <row r="28" spans="1:11" ht="15.75" customHeight="1" x14ac:dyDescent="0.15">
      <c r="B28" s="4">
        <v>2</v>
      </c>
      <c r="C28" s="4"/>
      <c r="D28" s="4"/>
      <c r="E28" s="4"/>
      <c r="F28" s="4">
        <v>4</v>
      </c>
      <c r="G28" s="4">
        <v>9</v>
      </c>
      <c r="H28" s="4">
        <v>4</v>
      </c>
      <c r="I28" s="4">
        <v>8</v>
      </c>
    </row>
    <row r="29" spans="1:11" ht="15.75" customHeight="1" x14ac:dyDescent="0.15">
      <c r="B29" s="4" t="s">
        <v>26</v>
      </c>
      <c r="C29" s="4">
        <f t="shared" ref="C29:I29" si="0">SUM(C3:C28)</f>
        <v>9</v>
      </c>
      <c r="D29" s="4">
        <f t="shared" si="0"/>
        <v>8</v>
      </c>
      <c r="E29" s="4">
        <f t="shared" si="0"/>
        <v>157</v>
      </c>
      <c r="F29" s="4">
        <f t="shared" si="0"/>
        <v>17</v>
      </c>
      <c r="G29" s="4">
        <f t="shared" si="0"/>
        <v>58</v>
      </c>
      <c r="H29" s="4">
        <f t="shared" si="0"/>
        <v>13</v>
      </c>
      <c r="I29" s="4">
        <f t="shared" si="0"/>
        <v>13</v>
      </c>
      <c r="J29" s="3">
        <v>0</v>
      </c>
      <c r="K29" s="3">
        <f>SUM(C29:J29)</f>
        <v>275</v>
      </c>
    </row>
    <row r="30" spans="1:11" ht="15.75" customHeight="1" x14ac:dyDescent="0.15">
      <c r="B30" s="4"/>
      <c r="C30" s="3">
        <f>C29/K29*100</f>
        <v>3.2727272727272729</v>
      </c>
      <c r="D30" s="3">
        <f>D29/K29*100</f>
        <v>2.9090909090909092</v>
      </c>
      <c r="E30" s="3">
        <f>E29/K29*100</f>
        <v>57.090909090909093</v>
      </c>
      <c r="F30" s="3">
        <f>F29/K29*100</f>
        <v>6.1818181818181817</v>
      </c>
      <c r="G30" s="3">
        <f>G29/K29*100</f>
        <v>21.09090909090909</v>
      </c>
      <c r="H30" s="3">
        <f>H29/K29*100</f>
        <v>4.7272727272727275</v>
      </c>
      <c r="I30" s="3">
        <f>I29/K29*100</f>
        <v>4.7272727272727275</v>
      </c>
      <c r="J30" s="3">
        <v>0</v>
      </c>
    </row>
    <row r="31" spans="1:11" ht="15.75" customHeight="1" x14ac:dyDescent="0.15">
      <c r="B31" s="4"/>
      <c r="C31" s="4"/>
      <c r="D31" s="4"/>
      <c r="E31" s="4"/>
      <c r="F31" s="4"/>
      <c r="G31" s="4"/>
      <c r="H31" s="4"/>
      <c r="I31" s="4"/>
    </row>
    <row r="32" spans="1:11" ht="15.75" customHeight="1" x14ac:dyDescent="0.15">
      <c r="B32" s="4"/>
      <c r="C32" s="4"/>
      <c r="D32" s="4"/>
      <c r="E32" s="4"/>
      <c r="F32" s="4"/>
      <c r="G32" s="4"/>
      <c r="H32" s="4"/>
      <c r="I32" s="4"/>
    </row>
    <row r="33" spans="2:9" ht="15.75" customHeight="1" x14ac:dyDescent="0.15">
      <c r="B33" s="4"/>
      <c r="C33" s="4"/>
      <c r="D33" s="4"/>
      <c r="E33" s="4"/>
      <c r="F33" s="4"/>
      <c r="G33" s="4"/>
      <c r="H33" s="4"/>
      <c r="I33" s="4"/>
    </row>
    <row r="34" spans="2:9" ht="15.75" customHeight="1" x14ac:dyDescent="0.15">
      <c r="B34" s="4"/>
      <c r="C34" s="4"/>
      <c r="D34" s="4"/>
      <c r="E34" s="4"/>
      <c r="F34" s="4"/>
      <c r="G34" s="4"/>
      <c r="H34" s="4"/>
      <c r="I34" s="4"/>
    </row>
    <row r="35" spans="2:9" ht="15.75" customHeight="1" x14ac:dyDescent="0.15">
      <c r="B35" s="4"/>
      <c r="C35" s="4"/>
      <c r="D35" s="4"/>
      <c r="E35" s="4"/>
      <c r="F35" s="4"/>
      <c r="G35" s="4"/>
      <c r="H35" s="4"/>
      <c r="I35" s="4"/>
    </row>
    <row r="36" spans="2:9" ht="15.75" customHeight="1" x14ac:dyDescent="0.15">
      <c r="B36" s="4"/>
      <c r="C36" s="4"/>
      <c r="D36" s="4"/>
      <c r="E36" s="4"/>
      <c r="F36" s="4"/>
      <c r="G36" s="4"/>
      <c r="H36" s="4"/>
      <c r="I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2"/>
  <sheetViews>
    <sheetView workbookViewId="0"/>
  </sheetViews>
  <sheetFormatPr baseColWidth="10" defaultColWidth="12.6640625" defaultRowHeight="15.75" customHeight="1" x14ac:dyDescent="0.15"/>
  <cols>
    <col min="3" max="3" width="6.6640625" customWidth="1"/>
    <col min="4" max="4" width="8.83203125" customWidth="1"/>
    <col min="5" max="5" width="7.6640625" customWidth="1"/>
    <col min="6" max="6" width="5.5" customWidth="1"/>
    <col min="7" max="7" width="6.6640625" customWidth="1"/>
    <col min="8" max="8" width="7" customWidth="1"/>
    <col min="9" max="9" width="6.83203125" customWidth="1"/>
  </cols>
  <sheetData>
    <row r="1" spans="1:15" ht="15.75" customHeight="1" x14ac:dyDescent="0.15">
      <c r="M1" s="3" t="s">
        <v>27</v>
      </c>
    </row>
    <row r="2" spans="1:15" ht="15.75" customHeight="1" x14ac:dyDescent="0.15">
      <c r="A2" s="3"/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M2" s="3" t="s">
        <v>0</v>
      </c>
      <c r="N2" s="3" t="s">
        <v>1</v>
      </c>
      <c r="O2" s="3" t="s">
        <v>2</v>
      </c>
    </row>
    <row r="3" spans="1:15" ht="15.75" customHeight="1" x14ac:dyDescent="0.15">
      <c r="A3" s="3" t="s">
        <v>28</v>
      </c>
      <c r="C3" s="3">
        <v>2</v>
      </c>
      <c r="D3" s="3">
        <v>9</v>
      </c>
      <c r="E3" s="3">
        <v>25</v>
      </c>
      <c r="F3" s="3">
        <v>5</v>
      </c>
      <c r="G3" s="3">
        <v>3</v>
      </c>
      <c r="I3" s="3">
        <v>1</v>
      </c>
      <c r="K3" s="3">
        <f t="shared" ref="K3:K4" si="0">SUM(C3:I3)</f>
        <v>45</v>
      </c>
      <c r="M3" s="3">
        <f>SUM(C4:E10)/K11*100</f>
        <v>81.666666666666671</v>
      </c>
      <c r="N3" s="3">
        <f>SUM(F4:G10)/K11*100</f>
        <v>8.8888888888888893</v>
      </c>
      <c r="O3" s="3">
        <f>SUM(H4:J10)/K11*100</f>
        <v>9.4444444444444464</v>
      </c>
    </row>
    <row r="4" spans="1:15" ht="15.75" customHeight="1" x14ac:dyDescent="0.15">
      <c r="A4" s="3" t="s">
        <v>29</v>
      </c>
      <c r="C4" s="3">
        <f t="shared" ref="C4:I4" si="1">C3*1.2</f>
        <v>2.4</v>
      </c>
      <c r="D4" s="3">
        <f t="shared" si="1"/>
        <v>10.799999999999999</v>
      </c>
      <c r="E4" s="3">
        <f t="shared" si="1"/>
        <v>30</v>
      </c>
      <c r="F4" s="3">
        <f t="shared" si="1"/>
        <v>6</v>
      </c>
      <c r="G4" s="3">
        <f t="shared" si="1"/>
        <v>3.5999999999999996</v>
      </c>
      <c r="H4" s="3">
        <f t="shared" si="1"/>
        <v>0</v>
      </c>
      <c r="I4" s="3">
        <f t="shared" si="1"/>
        <v>1.2</v>
      </c>
      <c r="K4" s="3">
        <f t="shared" si="0"/>
        <v>54.000000000000007</v>
      </c>
    </row>
    <row r="5" spans="1:15" ht="15.75" customHeight="1" x14ac:dyDescent="0.15">
      <c r="A5" s="3" t="s">
        <v>30</v>
      </c>
      <c r="B5" s="3">
        <v>1</v>
      </c>
      <c r="E5" s="3">
        <v>5</v>
      </c>
      <c r="H5" s="3">
        <v>2</v>
      </c>
      <c r="I5" s="3">
        <v>2</v>
      </c>
    </row>
    <row r="6" spans="1:15" ht="15.75" customHeight="1" x14ac:dyDescent="0.15">
      <c r="B6" s="3">
        <v>2</v>
      </c>
      <c r="E6" s="3">
        <v>7</v>
      </c>
      <c r="H6" s="3">
        <v>2</v>
      </c>
    </row>
    <row r="7" spans="1:15" ht="15.75" customHeight="1" x14ac:dyDescent="0.15">
      <c r="D7" s="3">
        <v>4</v>
      </c>
      <c r="E7" s="3">
        <v>5</v>
      </c>
    </row>
    <row r="8" spans="1:15" ht="15.75" customHeight="1" x14ac:dyDescent="0.15">
      <c r="C8" s="3">
        <v>2</v>
      </c>
      <c r="D8" s="3">
        <v>2</v>
      </c>
      <c r="E8" s="3">
        <v>3</v>
      </c>
      <c r="H8" s="3">
        <v>2</v>
      </c>
    </row>
    <row r="9" spans="1:15" ht="15.75" customHeight="1" x14ac:dyDescent="0.15">
      <c r="E9" s="3">
        <v>9</v>
      </c>
    </row>
    <row r="10" spans="1:15" ht="15.75" customHeight="1" x14ac:dyDescent="0.15">
      <c r="E10" s="3">
        <v>8</v>
      </c>
      <c r="I10" s="3">
        <v>1</v>
      </c>
      <c r="J10" s="3">
        <v>0</v>
      </c>
      <c r="K10" s="3">
        <f>SUM(C5:I10)</f>
        <v>54</v>
      </c>
    </row>
    <row r="11" spans="1:15" ht="15.75" customHeight="1" x14ac:dyDescent="0.15">
      <c r="C11" s="3">
        <f t="shared" ref="C11:I11" si="2">SUM(C4:C10)</f>
        <v>4.4000000000000004</v>
      </c>
      <c r="D11" s="3">
        <f t="shared" si="2"/>
        <v>16.799999999999997</v>
      </c>
      <c r="E11" s="3">
        <f t="shared" si="2"/>
        <v>67</v>
      </c>
      <c r="F11" s="3">
        <f t="shared" si="2"/>
        <v>6</v>
      </c>
      <c r="G11" s="3">
        <f t="shared" si="2"/>
        <v>3.5999999999999996</v>
      </c>
      <c r="H11" s="3">
        <f t="shared" si="2"/>
        <v>6</v>
      </c>
      <c r="I11" s="3">
        <f t="shared" si="2"/>
        <v>4.2</v>
      </c>
      <c r="J11" s="3">
        <v>0</v>
      </c>
      <c r="K11" s="3">
        <f>SUM(C11:J11)</f>
        <v>107.99999999999999</v>
      </c>
    </row>
    <row r="12" spans="1:15" ht="15.75" customHeight="1" x14ac:dyDescent="0.15">
      <c r="A12" s="3" t="s">
        <v>31</v>
      </c>
      <c r="C12" s="3">
        <f>C11/K11*100</f>
        <v>4.0740740740740753</v>
      </c>
      <c r="D12" s="3">
        <f>D11/K11*100</f>
        <v>15.555555555555555</v>
      </c>
      <c r="E12" s="3">
        <f>E11/K11*100</f>
        <v>62.037037037037045</v>
      </c>
      <c r="F12" s="3">
        <f>F11/K11*100</f>
        <v>5.5555555555555562</v>
      </c>
      <c r="G12" s="3">
        <f>G11/K11*100</f>
        <v>3.3333333333333335</v>
      </c>
      <c r="H12" s="3">
        <f>H11/K11*100</f>
        <v>5.5555555555555562</v>
      </c>
      <c r="I12" s="3">
        <f>I11/K11*100</f>
        <v>3.8888888888888897</v>
      </c>
      <c r="J1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N12"/>
  <sheetViews>
    <sheetView workbookViewId="0">
      <selection activeCell="E18" sqref="E18"/>
    </sheetView>
  </sheetViews>
  <sheetFormatPr baseColWidth="10" defaultColWidth="12.6640625" defaultRowHeight="15.75" customHeight="1" x14ac:dyDescent="0.15"/>
  <cols>
    <col min="1" max="1" width="18" customWidth="1"/>
    <col min="2" max="2" width="9.1640625" customWidth="1"/>
    <col min="3" max="3" width="6.6640625" customWidth="1"/>
    <col min="4" max="4" width="8.83203125" customWidth="1"/>
    <col min="5" max="5" width="7.6640625" customWidth="1"/>
    <col min="6" max="6" width="5.5" customWidth="1"/>
    <col min="7" max="7" width="6.6640625" customWidth="1"/>
    <col min="8" max="8" width="7" customWidth="1"/>
    <col min="9" max="10" width="6.83203125" customWidth="1"/>
  </cols>
  <sheetData>
    <row r="2" spans="1:14" ht="15.75" customHeight="1" x14ac:dyDescent="0.15">
      <c r="A2" s="3">
        <v>2025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L2" s="3" t="s">
        <v>0</v>
      </c>
      <c r="M2" s="3" t="s">
        <v>1</v>
      </c>
      <c r="N2" s="3" t="s">
        <v>2</v>
      </c>
    </row>
    <row r="3" spans="1:14" ht="15.75" customHeight="1" x14ac:dyDescent="0.15">
      <c r="A3" s="3" t="s">
        <v>32</v>
      </c>
      <c r="B3" s="5">
        <v>46030</v>
      </c>
      <c r="C3" s="3">
        <v>2</v>
      </c>
      <c r="E3" s="3">
        <v>5</v>
      </c>
      <c r="G3" s="3">
        <v>1</v>
      </c>
      <c r="L3" s="3">
        <f>SUM(C11:E11)/K11*100</f>
        <v>34</v>
      </c>
      <c r="M3" s="3">
        <f>SUM(F11:G11)/K11*100</f>
        <v>35.199999999999996</v>
      </c>
      <c r="N3" s="3">
        <f>SUM(H11:J11)/K11*100</f>
        <v>30.8</v>
      </c>
    </row>
    <row r="4" spans="1:14" ht="15.75" customHeight="1" x14ac:dyDescent="0.15">
      <c r="A4" s="3" t="s">
        <v>33</v>
      </c>
      <c r="B4" s="5">
        <v>46276</v>
      </c>
      <c r="E4" s="3">
        <v>1</v>
      </c>
      <c r="F4" s="3">
        <v>1</v>
      </c>
      <c r="G4" s="3">
        <v>1</v>
      </c>
    </row>
    <row r="5" spans="1:14" ht="15.75" customHeight="1" x14ac:dyDescent="0.15">
      <c r="A5" s="3" t="s">
        <v>34</v>
      </c>
      <c r="B5" s="5">
        <v>46370</v>
      </c>
      <c r="E5" s="3">
        <v>2</v>
      </c>
      <c r="G5" s="3">
        <v>1</v>
      </c>
    </row>
    <row r="6" spans="1:14" ht="15.75" customHeight="1" x14ac:dyDescent="0.15">
      <c r="A6" s="3" t="s">
        <v>35</v>
      </c>
      <c r="B6" s="3">
        <v>15</v>
      </c>
      <c r="G6" s="3">
        <v>1</v>
      </c>
    </row>
    <row r="7" spans="1:14" ht="15.75" customHeight="1" x14ac:dyDescent="0.15">
      <c r="B7" s="3">
        <v>16</v>
      </c>
      <c r="G7" s="3">
        <v>1</v>
      </c>
    </row>
    <row r="8" spans="1:14" ht="15.75" customHeight="1" x14ac:dyDescent="0.15">
      <c r="B8" s="3">
        <v>17</v>
      </c>
      <c r="H8" s="3">
        <v>1</v>
      </c>
    </row>
    <row r="9" spans="1:14" ht="15.75" customHeight="1" x14ac:dyDescent="0.15">
      <c r="B9" s="3">
        <v>18</v>
      </c>
      <c r="H9" s="3">
        <v>1</v>
      </c>
    </row>
    <row r="10" spans="1:14" ht="15.75" customHeight="1" x14ac:dyDescent="0.15">
      <c r="B10" s="3">
        <v>19</v>
      </c>
      <c r="H10" s="3">
        <v>1</v>
      </c>
    </row>
    <row r="11" spans="1:14" ht="15.75" customHeight="1" x14ac:dyDescent="0.15">
      <c r="A11" s="3" t="s">
        <v>36</v>
      </c>
      <c r="C11" s="3">
        <f t="shared" ref="C11:I11" si="0">C3*5+C4*6+C5*5+(C6+C7+C8+C9+C10)*15.4</f>
        <v>10</v>
      </c>
      <c r="D11" s="3">
        <f t="shared" si="0"/>
        <v>0</v>
      </c>
      <c r="E11" s="3">
        <f t="shared" si="0"/>
        <v>41</v>
      </c>
      <c r="F11" s="3">
        <f t="shared" si="0"/>
        <v>6</v>
      </c>
      <c r="G11" s="3">
        <f t="shared" si="0"/>
        <v>46.8</v>
      </c>
      <c r="H11" s="3">
        <f t="shared" si="0"/>
        <v>46.2</v>
      </c>
      <c r="I11" s="3">
        <f t="shared" si="0"/>
        <v>0</v>
      </c>
      <c r="J11" s="3">
        <v>0</v>
      </c>
      <c r="K11" s="3">
        <f>SUM(C11:J11)</f>
        <v>150</v>
      </c>
    </row>
    <row r="12" spans="1:14" ht="15.75" customHeight="1" x14ac:dyDescent="0.15">
      <c r="A12" s="3" t="s">
        <v>31</v>
      </c>
      <c r="C12" s="3">
        <f>C11/K11*100</f>
        <v>6.666666666666667</v>
      </c>
      <c r="D12" s="3">
        <v>0</v>
      </c>
      <c r="E12" s="3">
        <f>E11/K11*100</f>
        <v>27.333333333333332</v>
      </c>
      <c r="F12" s="3">
        <f>F11/K11*100</f>
        <v>4</v>
      </c>
      <c r="G12" s="3">
        <f>G11/K11*100</f>
        <v>31.2</v>
      </c>
      <c r="H12" s="3">
        <f>H11/K11*100</f>
        <v>30.8</v>
      </c>
      <c r="I12" s="3">
        <v>0</v>
      </c>
      <c r="J1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N24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9.1640625" customWidth="1"/>
    <col min="3" max="3" width="6.6640625" customWidth="1"/>
    <col min="4" max="4" width="8.83203125" customWidth="1"/>
    <col min="5" max="5" width="7.6640625" customWidth="1"/>
    <col min="6" max="6" width="5.5" customWidth="1"/>
    <col min="7" max="7" width="6.6640625" customWidth="1"/>
    <col min="8" max="8" width="7" customWidth="1"/>
    <col min="9" max="9" width="6.83203125" customWidth="1"/>
  </cols>
  <sheetData>
    <row r="2" spans="1:14" ht="15.75" customHeight="1" x14ac:dyDescent="0.15">
      <c r="A2" s="3" t="s">
        <v>37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L2" s="3" t="s">
        <v>0</v>
      </c>
      <c r="M2" s="3" t="s">
        <v>1</v>
      </c>
      <c r="N2" s="3" t="s">
        <v>2</v>
      </c>
    </row>
    <row r="3" spans="1:14" ht="15.75" customHeight="1" x14ac:dyDescent="0.15">
      <c r="A3" s="3" t="s">
        <v>38</v>
      </c>
      <c r="B3" s="5"/>
      <c r="C3" s="3">
        <v>6</v>
      </c>
      <c r="D3" s="3">
        <v>2</v>
      </c>
      <c r="E3" s="3">
        <v>9</v>
      </c>
      <c r="L3" s="3">
        <f>SUM(C23:E23)/K23*100</f>
        <v>82.278481012658233</v>
      </c>
      <c r="M3" s="3">
        <f>SUM(F23:G23)/K23*100</f>
        <v>8.8607594936708853</v>
      </c>
      <c r="N3" s="3">
        <f>SUM(H23:J23)/K23*100</f>
        <v>8.8607594936708853</v>
      </c>
    </row>
    <row r="4" spans="1:14" ht="15.75" customHeight="1" x14ac:dyDescent="0.15">
      <c r="A4" s="3" t="s">
        <v>39</v>
      </c>
      <c r="B4" s="5"/>
      <c r="I4" s="3">
        <v>2</v>
      </c>
    </row>
    <row r="5" spans="1:14" ht="15.75" customHeight="1" x14ac:dyDescent="0.15">
      <c r="A5" s="3" t="s">
        <v>40</v>
      </c>
      <c r="B5" s="3">
        <v>21</v>
      </c>
      <c r="E5" s="3">
        <v>2</v>
      </c>
    </row>
    <row r="6" spans="1:14" ht="15.75" customHeight="1" x14ac:dyDescent="0.15">
      <c r="B6" s="3">
        <v>22</v>
      </c>
      <c r="G6" s="3">
        <v>2</v>
      </c>
    </row>
    <row r="7" spans="1:14" ht="15.75" customHeight="1" x14ac:dyDescent="0.15">
      <c r="B7" s="3">
        <v>23</v>
      </c>
      <c r="E7" s="3">
        <v>2</v>
      </c>
    </row>
    <row r="8" spans="1:14" ht="15.75" customHeight="1" x14ac:dyDescent="0.15">
      <c r="B8" s="3">
        <v>24</v>
      </c>
      <c r="E8" s="3">
        <v>2</v>
      </c>
    </row>
    <row r="9" spans="1:14" ht="15.75" customHeight="1" x14ac:dyDescent="0.15">
      <c r="B9" s="3">
        <v>25</v>
      </c>
      <c r="E9" s="3">
        <v>2</v>
      </c>
    </row>
    <row r="10" spans="1:14" ht="15.75" customHeight="1" x14ac:dyDescent="0.15">
      <c r="A10" s="3" t="s">
        <v>41</v>
      </c>
      <c r="B10" s="3">
        <v>26</v>
      </c>
      <c r="E10" s="3">
        <v>3</v>
      </c>
    </row>
    <row r="11" spans="1:14" ht="15.75" customHeight="1" x14ac:dyDescent="0.15">
      <c r="B11" s="3">
        <v>27</v>
      </c>
      <c r="E11" s="3">
        <v>3</v>
      </c>
    </row>
    <row r="12" spans="1:14" ht="15.75" customHeight="1" x14ac:dyDescent="0.15">
      <c r="B12" s="3">
        <v>28</v>
      </c>
      <c r="E12" s="3">
        <v>3</v>
      </c>
    </row>
    <row r="13" spans="1:14" ht="15.75" customHeight="1" x14ac:dyDescent="0.15">
      <c r="B13" s="3">
        <v>29</v>
      </c>
      <c r="E13" s="3">
        <v>3</v>
      </c>
    </row>
    <row r="14" spans="1:14" ht="15.75" customHeight="1" x14ac:dyDescent="0.15">
      <c r="B14" s="3">
        <v>30</v>
      </c>
      <c r="F14" s="3">
        <v>3</v>
      </c>
    </row>
    <row r="15" spans="1:14" ht="15.75" customHeight="1" x14ac:dyDescent="0.15">
      <c r="B15" s="3">
        <v>31</v>
      </c>
      <c r="E15" s="3">
        <v>3</v>
      </c>
    </row>
    <row r="16" spans="1:14" ht="15.75" customHeight="1" x14ac:dyDescent="0.15">
      <c r="A16" s="3" t="s">
        <v>42</v>
      </c>
      <c r="B16" s="3">
        <v>32</v>
      </c>
      <c r="C16" s="3">
        <v>5</v>
      </c>
    </row>
    <row r="17" spans="1:11" ht="15.75" customHeight="1" x14ac:dyDescent="0.15">
      <c r="B17" s="3">
        <v>33</v>
      </c>
      <c r="E17" s="3">
        <v>5</v>
      </c>
    </row>
    <row r="18" spans="1:11" ht="15.75" customHeight="1" x14ac:dyDescent="0.15">
      <c r="B18" s="3">
        <v>34</v>
      </c>
      <c r="H18" s="3">
        <v>5</v>
      </c>
    </row>
    <row r="19" spans="1:11" ht="15.75" customHeight="1" x14ac:dyDescent="0.15">
      <c r="B19" s="3">
        <v>35</v>
      </c>
      <c r="E19" s="3">
        <v>5</v>
      </c>
    </row>
    <row r="20" spans="1:11" ht="15.75" customHeight="1" x14ac:dyDescent="0.15">
      <c r="A20" s="3" t="s">
        <v>43</v>
      </c>
      <c r="B20" s="3">
        <v>36</v>
      </c>
      <c r="C20" s="3">
        <v>1</v>
      </c>
      <c r="E20" s="3">
        <v>2</v>
      </c>
      <c r="F20" s="3">
        <v>1</v>
      </c>
    </row>
    <row r="21" spans="1:11" ht="15.75" customHeight="1" x14ac:dyDescent="0.15">
      <c r="B21" s="3">
        <v>37</v>
      </c>
      <c r="D21" s="3">
        <v>1</v>
      </c>
      <c r="E21" s="3">
        <v>3</v>
      </c>
    </row>
    <row r="22" spans="1:11" ht="15.75" customHeight="1" x14ac:dyDescent="0.15">
      <c r="B22" s="3">
        <v>38</v>
      </c>
      <c r="C22" s="3">
        <v>1</v>
      </c>
      <c r="E22" s="3">
        <v>2</v>
      </c>
      <c r="F22" s="3">
        <v>1</v>
      </c>
    </row>
    <row r="23" spans="1:11" ht="15.75" customHeight="1" x14ac:dyDescent="0.15">
      <c r="A23" s="3" t="s">
        <v>26</v>
      </c>
      <c r="C23" s="3">
        <f t="shared" ref="C23:I23" si="0">SUM(C3:C22)</f>
        <v>13</v>
      </c>
      <c r="D23" s="3">
        <f t="shared" si="0"/>
        <v>3</v>
      </c>
      <c r="E23" s="3">
        <f t="shared" si="0"/>
        <v>49</v>
      </c>
      <c r="F23" s="3">
        <f t="shared" si="0"/>
        <v>5</v>
      </c>
      <c r="G23" s="3">
        <f t="shared" si="0"/>
        <v>2</v>
      </c>
      <c r="H23" s="3">
        <f t="shared" si="0"/>
        <v>5</v>
      </c>
      <c r="I23" s="3">
        <f t="shared" si="0"/>
        <v>2</v>
      </c>
      <c r="J23" s="3">
        <v>0</v>
      </c>
      <c r="K23" s="3">
        <f>SUM(C23:J23)</f>
        <v>79</v>
      </c>
    </row>
    <row r="24" spans="1:11" ht="15.75" customHeight="1" x14ac:dyDescent="0.15">
      <c r="A24" s="3" t="s">
        <v>31</v>
      </c>
      <c r="C24" s="3">
        <f>C23/K23*100</f>
        <v>16.455696202531644</v>
      </c>
      <c r="D24" s="3">
        <f>D23/K23*100</f>
        <v>3.79746835443038</v>
      </c>
      <c r="E24" s="3">
        <f>E23/K23*100</f>
        <v>62.025316455696199</v>
      </c>
      <c r="F24" s="3">
        <f>F23/K23*100</f>
        <v>6.3291139240506329</v>
      </c>
      <c r="G24" s="3">
        <f>G23/K23*100</f>
        <v>2.5316455696202533</v>
      </c>
      <c r="H24" s="3">
        <f>H23/K23*100</f>
        <v>6.3291139240506329</v>
      </c>
      <c r="I24" s="3">
        <f>I23/K23*100</f>
        <v>2.5316455696202533</v>
      </c>
      <c r="J2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N56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9.1640625" customWidth="1"/>
    <col min="3" max="3" width="6.6640625" customWidth="1"/>
    <col min="4" max="4" width="8.83203125" customWidth="1"/>
    <col min="5" max="5" width="7.6640625" customWidth="1"/>
    <col min="6" max="6" width="5.5" customWidth="1"/>
    <col min="7" max="7" width="6.6640625" customWidth="1"/>
    <col min="8" max="8" width="7" customWidth="1"/>
    <col min="9" max="9" width="6.83203125" customWidth="1"/>
  </cols>
  <sheetData>
    <row r="2" spans="1:14" ht="15.75" customHeight="1" x14ac:dyDescent="0.15">
      <c r="A2" s="3" t="s">
        <v>44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L2" s="3" t="s">
        <v>0</v>
      </c>
      <c r="M2" s="3" t="s">
        <v>1</v>
      </c>
      <c r="N2" s="3" t="s">
        <v>2</v>
      </c>
    </row>
    <row r="3" spans="1:14" ht="15.75" customHeight="1" x14ac:dyDescent="0.15">
      <c r="A3" s="3" t="s">
        <v>45</v>
      </c>
      <c r="B3" s="3">
        <v>1</v>
      </c>
      <c r="C3" s="3">
        <v>3</v>
      </c>
      <c r="L3" s="3">
        <f>SUM(C54:E54)</f>
        <v>88.242063492063494</v>
      </c>
      <c r="M3" s="3">
        <f>SUM(F54:G54)</f>
        <v>3.75</v>
      </c>
      <c r="N3" s="3">
        <f>SUM(H54:J54)</f>
        <v>8.0079365079365079</v>
      </c>
    </row>
    <row r="4" spans="1:14" ht="15.75" customHeight="1" x14ac:dyDescent="0.15">
      <c r="B4" s="3">
        <v>2</v>
      </c>
      <c r="E4" s="3">
        <v>3</v>
      </c>
    </row>
    <row r="5" spans="1:14" ht="15.75" customHeight="1" x14ac:dyDescent="0.15">
      <c r="E5" s="3">
        <v>3</v>
      </c>
    </row>
    <row r="6" spans="1:14" ht="15.75" customHeight="1" x14ac:dyDescent="0.15">
      <c r="E6" s="3">
        <v>3</v>
      </c>
    </row>
    <row r="7" spans="1:14" ht="15.75" customHeight="1" x14ac:dyDescent="0.15">
      <c r="C7" s="3">
        <v>4</v>
      </c>
    </row>
    <row r="8" spans="1:14" ht="15.75" customHeight="1" x14ac:dyDescent="0.15">
      <c r="D8" s="3">
        <v>1</v>
      </c>
      <c r="E8" s="3">
        <v>3</v>
      </c>
    </row>
    <row r="9" spans="1:14" ht="15.75" customHeight="1" x14ac:dyDescent="0.15">
      <c r="D9" s="3">
        <v>1</v>
      </c>
      <c r="E9" s="3">
        <v>4</v>
      </c>
    </row>
    <row r="10" spans="1:14" ht="15.75" customHeight="1" x14ac:dyDescent="0.15">
      <c r="E10" s="3">
        <v>3</v>
      </c>
      <c r="H10" s="3">
        <v>2</v>
      </c>
    </row>
    <row r="11" spans="1:14" ht="15.75" customHeight="1" x14ac:dyDescent="0.15">
      <c r="D11" s="3">
        <v>5</v>
      </c>
    </row>
    <row r="12" spans="1:14" ht="15.75" customHeight="1" x14ac:dyDescent="0.15">
      <c r="E12" s="3">
        <v>3</v>
      </c>
      <c r="H12" s="3">
        <v>3</v>
      </c>
    </row>
    <row r="13" spans="1:14" ht="15.75" customHeight="1" x14ac:dyDescent="0.15">
      <c r="E13" s="3">
        <v>6</v>
      </c>
    </row>
    <row r="14" spans="1:14" ht="15.75" customHeight="1" x14ac:dyDescent="0.15">
      <c r="C14" s="3">
        <v>3</v>
      </c>
      <c r="D14" s="3">
        <v>4</v>
      </c>
    </row>
    <row r="15" spans="1:14" ht="15.75" customHeight="1" x14ac:dyDescent="0.15">
      <c r="C15" s="3">
        <v>1</v>
      </c>
      <c r="E15" s="3">
        <v>6</v>
      </c>
    </row>
    <row r="16" spans="1:14" ht="15.75" customHeight="1" x14ac:dyDescent="0.15">
      <c r="D16" s="3">
        <v>3</v>
      </c>
      <c r="E16" s="3">
        <v>6</v>
      </c>
    </row>
    <row r="17" spans="1:14" ht="15.75" customHeight="1" x14ac:dyDescent="0.15">
      <c r="E17" s="3">
        <v>4</v>
      </c>
    </row>
    <row r="18" spans="1:14" ht="15.75" customHeight="1" x14ac:dyDescent="0.15">
      <c r="E18" s="3">
        <v>4</v>
      </c>
    </row>
    <row r="19" spans="1:14" ht="15.75" customHeight="1" x14ac:dyDescent="0.15">
      <c r="E19" s="3">
        <v>6</v>
      </c>
    </row>
    <row r="20" spans="1:14" ht="15.75" customHeight="1" x14ac:dyDescent="0.15">
      <c r="E20" s="3">
        <v>9</v>
      </c>
    </row>
    <row r="21" spans="1:14" ht="15.75" customHeight="1" x14ac:dyDescent="0.15">
      <c r="B21" s="3">
        <v>19</v>
      </c>
      <c r="E21" s="3">
        <v>8</v>
      </c>
      <c r="H21" s="3">
        <v>4</v>
      </c>
    </row>
    <row r="22" spans="1:14" ht="15.75" customHeight="1" x14ac:dyDescent="0.15">
      <c r="A22" s="3" t="s">
        <v>46</v>
      </c>
      <c r="C22" s="3">
        <f t="shared" ref="C22:J22" si="0">SUM(C3:C21)</f>
        <v>11</v>
      </c>
      <c r="D22" s="3">
        <f t="shared" si="0"/>
        <v>14</v>
      </c>
      <c r="E22" s="3">
        <f t="shared" si="0"/>
        <v>71</v>
      </c>
      <c r="F22" s="3">
        <f t="shared" si="0"/>
        <v>0</v>
      </c>
      <c r="G22" s="3">
        <f t="shared" si="0"/>
        <v>0</v>
      </c>
      <c r="H22" s="3">
        <f t="shared" si="0"/>
        <v>9</v>
      </c>
      <c r="I22" s="3">
        <f t="shared" si="0"/>
        <v>0</v>
      </c>
      <c r="J22" s="3">
        <f t="shared" si="0"/>
        <v>0</v>
      </c>
      <c r="K22" s="3">
        <f>SUM(B22:J22)</f>
        <v>105</v>
      </c>
      <c r="M22" s="6">
        <v>0.65</v>
      </c>
      <c r="N22" s="3" t="s">
        <v>47</v>
      </c>
    </row>
    <row r="23" spans="1:14" ht="15.75" customHeight="1" x14ac:dyDescent="0.15">
      <c r="A23" s="3" t="s">
        <v>48</v>
      </c>
      <c r="C23" s="3">
        <v>2</v>
      </c>
      <c r="D23" s="3">
        <v>1</v>
      </c>
      <c r="E23" s="3">
        <v>35</v>
      </c>
      <c r="H23" s="3">
        <v>7</v>
      </c>
      <c r="K23" s="3">
        <f>SUM(C23:J23)</f>
        <v>45</v>
      </c>
    </row>
    <row r="24" spans="1:14" ht="15.75" customHeight="1" x14ac:dyDescent="0.15">
      <c r="A24" s="7" t="s">
        <v>49</v>
      </c>
      <c r="B24" s="7"/>
      <c r="C24" s="7">
        <f t="shared" ref="C24:K24" si="1">(C22/105*65)+(C23/45*35)</f>
        <v>8.3650793650793656</v>
      </c>
      <c r="D24" s="7">
        <f t="shared" si="1"/>
        <v>9.4444444444444446</v>
      </c>
      <c r="E24" s="7">
        <f t="shared" si="1"/>
        <v>71.174603174603178</v>
      </c>
      <c r="F24" s="7">
        <f t="shared" si="1"/>
        <v>0</v>
      </c>
      <c r="G24" s="7">
        <f t="shared" si="1"/>
        <v>0</v>
      </c>
      <c r="H24" s="7">
        <f t="shared" si="1"/>
        <v>11.015873015873016</v>
      </c>
      <c r="I24" s="7">
        <f t="shared" si="1"/>
        <v>0</v>
      </c>
      <c r="J24" s="7">
        <f t="shared" si="1"/>
        <v>0</v>
      </c>
      <c r="K24" s="7">
        <f t="shared" si="1"/>
        <v>100</v>
      </c>
    </row>
    <row r="25" spans="1:14" ht="15.75" customHeight="1" x14ac:dyDescent="0.15">
      <c r="A25" s="3" t="s">
        <v>50</v>
      </c>
      <c r="B25" s="3">
        <v>1</v>
      </c>
      <c r="E25" s="3">
        <v>7</v>
      </c>
    </row>
    <row r="26" spans="1:14" ht="15.75" customHeight="1" x14ac:dyDescent="0.15">
      <c r="E26" s="3">
        <v>5</v>
      </c>
    </row>
    <row r="27" spans="1:14" ht="15.75" customHeight="1" x14ac:dyDescent="0.15">
      <c r="E27" s="3">
        <v>7</v>
      </c>
    </row>
    <row r="28" spans="1:14" ht="15.75" customHeight="1" x14ac:dyDescent="0.15">
      <c r="D28" s="3">
        <v>2</v>
      </c>
      <c r="E28" s="3">
        <v>4</v>
      </c>
    </row>
    <row r="29" spans="1:14" ht="15.75" customHeight="1" x14ac:dyDescent="0.15">
      <c r="E29" s="3">
        <v>5</v>
      </c>
    </row>
    <row r="30" spans="1:14" ht="15.75" customHeight="1" x14ac:dyDescent="0.15">
      <c r="E30" s="3">
        <v>6</v>
      </c>
    </row>
    <row r="31" spans="1:14" ht="15.75" customHeight="1" x14ac:dyDescent="0.15">
      <c r="E31" s="3">
        <v>6</v>
      </c>
    </row>
    <row r="32" spans="1:14" ht="15.75" customHeight="1" x14ac:dyDescent="0.15">
      <c r="E32" s="3">
        <v>8</v>
      </c>
    </row>
    <row r="33" spans="1:11" ht="15.75" customHeight="1" x14ac:dyDescent="0.15">
      <c r="E33" s="3">
        <v>12</v>
      </c>
    </row>
    <row r="34" spans="1:11" ht="15.75" customHeight="1" x14ac:dyDescent="0.15">
      <c r="E34" s="3">
        <v>10</v>
      </c>
      <c r="H34" s="3">
        <v>2</v>
      </c>
    </row>
    <row r="35" spans="1:11" ht="15.75" customHeight="1" x14ac:dyDescent="0.15">
      <c r="E35" s="3">
        <v>10</v>
      </c>
      <c r="H35" s="3">
        <v>4</v>
      </c>
    </row>
    <row r="36" spans="1:11" ht="15.75" customHeight="1" x14ac:dyDescent="0.15">
      <c r="E36" s="3">
        <v>12</v>
      </c>
    </row>
    <row r="37" spans="1:11" ht="15.75" customHeight="1" x14ac:dyDescent="0.15">
      <c r="A37" s="3" t="s">
        <v>46</v>
      </c>
      <c r="C37" s="3">
        <v>0</v>
      </c>
      <c r="D37" s="3">
        <f t="shared" ref="D37:J37" si="2">SUM(D25:D36)</f>
        <v>2</v>
      </c>
      <c r="E37" s="3">
        <f t="shared" si="2"/>
        <v>92</v>
      </c>
      <c r="F37" s="3">
        <f t="shared" si="2"/>
        <v>0</v>
      </c>
      <c r="G37" s="3">
        <f t="shared" si="2"/>
        <v>0</v>
      </c>
      <c r="H37" s="3">
        <f t="shared" si="2"/>
        <v>6</v>
      </c>
      <c r="I37" s="3">
        <f t="shared" si="2"/>
        <v>0</v>
      </c>
      <c r="J37" s="3">
        <f t="shared" si="2"/>
        <v>0</v>
      </c>
      <c r="K37" s="3">
        <f>SUM(B37:J37)</f>
        <v>100</v>
      </c>
    </row>
    <row r="38" spans="1:11" ht="15.75" customHeight="1" x14ac:dyDescent="0.15">
      <c r="A38" s="3" t="s">
        <v>51</v>
      </c>
      <c r="B38" s="3">
        <v>1</v>
      </c>
      <c r="G38" s="3">
        <v>4</v>
      </c>
    </row>
    <row r="39" spans="1:11" ht="15.75" customHeight="1" x14ac:dyDescent="0.15">
      <c r="E39" s="3">
        <v>5</v>
      </c>
    </row>
    <row r="40" spans="1:11" ht="15.75" customHeight="1" x14ac:dyDescent="0.15">
      <c r="E40" s="3">
        <v>6</v>
      </c>
    </row>
    <row r="41" spans="1:11" ht="15.75" customHeight="1" x14ac:dyDescent="0.15">
      <c r="E41" s="3">
        <v>3</v>
      </c>
    </row>
    <row r="42" spans="1:11" ht="15.75" customHeight="1" x14ac:dyDescent="0.15">
      <c r="E42" s="3">
        <v>6</v>
      </c>
    </row>
    <row r="43" spans="1:11" ht="15.75" customHeight="1" x14ac:dyDescent="0.15">
      <c r="G43" s="3">
        <v>5</v>
      </c>
    </row>
    <row r="44" spans="1:11" ht="15.75" customHeight="1" x14ac:dyDescent="0.15">
      <c r="E44" s="3">
        <v>6</v>
      </c>
    </row>
    <row r="45" spans="1:11" ht="15.75" customHeight="1" x14ac:dyDescent="0.15">
      <c r="E45" s="3">
        <v>3</v>
      </c>
      <c r="H45" s="3">
        <v>4</v>
      </c>
    </row>
    <row r="46" spans="1:11" ht="15.75" customHeight="1" x14ac:dyDescent="0.15">
      <c r="E46" s="3">
        <v>8</v>
      </c>
    </row>
    <row r="47" spans="1:11" ht="15.75" customHeight="1" x14ac:dyDescent="0.15">
      <c r="D47" s="3">
        <v>5</v>
      </c>
      <c r="E47" s="3">
        <v>7</v>
      </c>
    </row>
    <row r="48" spans="1:11" ht="15.75" customHeight="1" x14ac:dyDescent="0.15">
      <c r="E48" s="3">
        <v>7</v>
      </c>
      <c r="G48" s="3">
        <v>6</v>
      </c>
    </row>
    <row r="49" spans="1:11" ht="15.75" customHeight="1" x14ac:dyDescent="0.15">
      <c r="E49" s="3">
        <v>12</v>
      </c>
    </row>
    <row r="50" spans="1:11" ht="13" x14ac:dyDescent="0.15">
      <c r="E50" s="3">
        <v>13</v>
      </c>
    </row>
    <row r="51" spans="1:11" ht="13" x14ac:dyDescent="0.15">
      <c r="A51" s="3" t="s">
        <v>46</v>
      </c>
      <c r="C51" s="3">
        <f t="shared" ref="C51:J51" si="3">SUM(C38:C50)</f>
        <v>0</v>
      </c>
      <c r="D51" s="3">
        <f t="shared" si="3"/>
        <v>5</v>
      </c>
      <c r="E51" s="3">
        <f t="shared" si="3"/>
        <v>76</v>
      </c>
      <c r="F51" s="3">
        <f t="shared" si="3"/>
        <v>0</v>
      </c>
      <c r="G51" s="3">
        <f t="shared" si="3"/>
        <v>15</v>
      </c>
      <c r="H51" s="3">
        <f t="shared" si="3"/>
        <v>4</v>
      </c>
      <c r="I51" s="3">
        <f t="shared" si="3"/>
        <v>0</v>
      </c>
      <c r="J51" s="3">
        <f t="shared" si="3"/>
        <v>0</v>
      </c>
      <c r="K51" s="3">
        <f>SUM(B51:J51)</f>
        <v>100</v>
      </c>
    </row>
    <row r="52" spans="1:11" ht="13" x14ac:dyDescent="0.15">
      <c r="A52" s="7" t="s">
        <v>52</v>
      </c>
      <c r="B52" s="7"/>
      <c r="C52" s="7">
        <f t="shared" ref="C52:J52" si="4">(C51+C37)/2</f>
        <v>0</v>
      </c>
      <c r="D52" s="7">
        <f t="shared" si="4"/>
        <v>3.5</v>
      </c>
      <c r="E52" s="7">
        <f t="shared" si="4"/>
        <v>84</v>
      </c>
      <c r="F52" s="7">
        <f t="shared" si="4"/>
        <v>0</v>
      </c>
      <c r="G52" s="7">
        <f t="shared" si="4"/>
        <v>7.5</v>
      </c>
      <c r="H52" s="7">
        <f t="shared" si="4"/>
        <v>5</v>
      </c>
      <c r="I52" s="7">
        <f t="shared" si="4"/>
        <v>0</v>
      </c>
      <c r="J52" s="7">
        <f t="shared" si="4"/>
        <v>0</v>
      </c>
      <c r="K52" s="7">
        <v>100</v>
      </c>
    </row>
    <row r="54" spans="1:11" ht="13" x14ac:dyDescent="0.15">
      <c r="A54" s="8" t="s">
        <v>53</v>
      </c>
      <c r="B54" s="8"/>
      <c r="C54" s="8">
        <f t="shared" ref="C54:K54" si="5">(C52+C24)/2</f>
        <v>4.1825396825396828</v>
      </c>
      <c r="D54" s="8">
        <f t="shared" si="5"/>
        <v>6.4722222222222223</v>
      </c>
      <c r="E54" s="8">
        <f t="shared" si="5"/>
        <v>77.587301587301596</v>
      </c>
      <c r="F54" s="8">
        <f t="shared" si="5"/>
        <v>0</v>
      </c>
      <c r="G54" s="8">
        <f t="shared" si="5"/>
        <v>3.75</v>
      </c>
      <c r="H54" s="8">
        <f t="shared" si="5"/>
        <v>8.0079365079365079</v>
      </c>
      <c r="I54" s="8">
        <f t="shared" si="5"/>
        <v>0</v>
      </c>
      <c r="J54" s="8">
        <f t="shared" si="5"/>
        <v>0</v>
      </c>
      <c r="K54" s="8">
        <f t="shared" si="5"/>
        <v>100</v>
      </c>
    </row>
    <row r="56" spans="1:11" ht="13" x14ac:dyDescent="0.15">
      <c r="K56" s="3">
        <f>SUM(C54:J54)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N20"/>
  <sheetViews>
    <sheetView workbookViewId="0"/>
  </sheetViews>
  <sheetFormatPr baseColWidth="10" defaultColWidth="12.6640625" defaultRowHeight="15.75" customHeight="1" x14ac:dyDescent="0.15"/>
  <cols>
    <col min="2" max="2" width="6.5" customWidth="1"/>
    <col min="3" max="3" width="7.6640625" customWidth="1"/>
    <col min="4" max="4" width="8.33203125" customWidth="1"/>
    <col min="5" max="5" width="7.6640625" customWidth="1"/>
    <col min="6" max="6" width="5.6640625" customWidth="1"/>
    <col min="7" max="7" width="7.83203125" customWidth="1"/>
    <col min="8" max="8" width="6" customWidth="1"/>
    <col min="9" max="9" width="6.6640625" customWidth="1"/>
    <col min="10" max="10" width="5.6640625" customWidth="1"/>
  </cols>
  <sheetData>
    <row r="2" spans="1:14" ht="15.75" customHeight="1" x14ac:dyDescent="0.15">
      <c r="A2" s="3" t="s">
        <v>54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L2" s="3" t="s">
        <v>0</v>
      </c>
      <c r="M2" s="3" t="s">
        <v>1</v>
      </c>
      <c r="N2" s="3" t="s">
        <v>2</v>
      </c>
    </row>
    <row r="3" spans="1:14" ht="15.75" customHeight="1" x14ac:dyDescent="0.15">
      <c r="A3" s="3" t="s">
        <v>55</v>
      </c>
      <c r="B3" s="3">
        <v>1</v>
      </c>
      <c r="E3" s="3">
        <v>2</v>
      </c>
      <c r="L3" s="3">
        <f>SUM(C19:E19)/K19*100</f>
        <v>41.25</v>
      </c>
      <c r="M3" s="3">
        <v>0</v>
      </c>
      <c r="N3" s="3">
        <f>SUM(H19:J19)/K19*100</f>
        <v>58.75</v>
      </c>
    </row>
    <row r="4" spans="1:14" ht="15.75" customHeight="1" x14ac:dyDescent="0.15">
      <c r="B4" s="3">
        <v>2</v>
      </c>
      <c r="E4" s="3">
        <v>2</v>
      </c>
    </row>
    <row r="5" spans="1:14" ht="15.75" customHeight="1" x14ac:dyDescent="0.15">
      <c r="B5" s="3">
        <v>3</v>
      </c>
      <c r="E5" s="3">
        <v>2</v>
      </c>
    </row>
    <row r="6" spans="1:14" ht="15.75" customHeight="1" x14ac:dyDescent="0.15">
      <c r="B6" s="3">
        <v>4</v>
      </c>
      <c r="E6" s="3">
        <v>2</v>
      </c>
    </row>
    <row r="7" spans="1:14" ht="15.75" customHeight="1" x14ac:dyDescent="0.15">
      <c r="B7" s="3">
        <v>5</v>
      </c>
      <c r="H7" s="3">
        <v>2</v>
      </c>
    </row>
    <row r="8" spans="1:14" ht="15.75" customHeight="1" x14ac:dyDescent="0.15">
      <c r="A8" s="3" t="s">
        <v>56</v>
      </c>
      <c r="E8" s="3">
        <v>5</v>
      </c>
    </row>
    <row r="9" spans="1:14" ht="15.75" customHeight="1" x14ac:dyDescent="0.15">
      <c r="H9" s="3">
        <v>5</v>
      </c>
    </row>
    <row r="10" spans="1:14" ht="15.75" customHeight="1" x14ac:dyDescent="0.15">
      <c r="A10" s="3" t="s">
        <v>57</v>
      </c>
      <c r="B10" s="3">
        <v>1</v>
      </c>
      <c r="D10" s="3">
        <v>1.5</v>
      </c>
    </row>
    <row r="11" spans="1:14" ht="15.75" customHeight="1" x14ac:dyDescent="0.15">
      <c r="B11" s="3">
        <v>2</v>
      </c>
      <c r="I11" s="3">
        <v>0.5</v>
      </c>
    </row>
    <row r="12" spans="1:14" ht="15.75" customHeight="1" x14ac:dyDescent="0.15">
      <c r="B12" s="3">
        <v>3</v>
      </c>
      <c r="H12" s="3">
        <v>1</v>
      </c>
      <c r="I12" s="3">
        <v>1</v>
      </c>
    </row>
    <row r="13" spans="1:14" ht="15.75" customHeight="1" x14ac:dyDescent="0.15">
      <c r="B13" s="3">
        <v>4</v>
      </c>
      <c r="E13" s="3">
        <v>2</v>
      </c>
    </row>
    <row r="14" spans="1:14" ht="15.75" customHeight="1" x14ac:dyDescent="0.15">
      <c r="B14" s="3">
        <v>5</v>
      </c>
      <c r="H14" s="3">
        <v>2</v>
      </c>
    </row>
    <row r="15" spans="1:14" ht="15.75" customHeight="1" x14ac:dyDescent="0.15">
      <c r="H15" s="3">
        <v>2</v>
      </c>
    </row>
    <row r="16" spans="1:14" ht="15.75" customHeight="1" x14ac:dyDescent="0.15">
      <c r="A16" s="3" t="s">
        <v>58</v>
      </c>
      <c r="B16" s="3">
        <v>1</v>
      </c>
      <c r="H16" s="3">
        <v>3</v>
      </c>
    </row>
    <row r="17" spans="3:11" ht="15.75" customHeight="1" x14ac:dyDescent="0.15">
      <c r="H17" s="3">
        <v>3</v>
      </c>
    </row>
    <row r="18" spans="3:11" ht="15.75" customHeight="1" x14ac:dyDescent="0.15">
      <c r="H18" s="3">
        <v>4</v>
      </c>
    </row>
    <row r="19" spans="3:11" ht="15.75" customHeight="1" x14ac:dyDescent="0.15">
      <c r="C19" s="3">
        <f t="shared" ref="C19:J19" si="0">SUM(C3:C18)</f>
        <v>0</v>
      </c>
      <c r="D19" s="3">
        <f t="shared" si="0"/>
        <v>1.5</v>
      </c>
      <c r="E19" s="3">
        <f t="shared" si="0"/>
        <v>15</v>
      </c>
      <c r="F19" s="3">
        <f t="shared" si="0"/>
        <v>0</v>
      </c>
      <c r="G19" s="3">
        <f t="shared" si="0"/>
        <v>0</v>
      </c>
      <c r="H19" s="3">
        <f t="shared" si="0"/>
        <v>22</v>
      </c>
      <c r="I19" s="3">
        <f t="shared" si="0"/>
        <v>1.5</v>
      </c>
      <c r="J19" s="3">
        <f t="shared" si="0"/>
        <v>0</v>
      </c>
      <c r="K19" s="3">
        <f>SUM(C3:J18)</f>
        <v>40</v>
      </c>
    </row>
    <row r="20" spans="3:11" ht="15.75" customHeight="1" x14ac:dyDescent="0.15">
      <c r="C20" s="3">
        <f>C19/K19</f>
        <v>0</v>
      </c>
      <c r="D20" s="3">
        <f t="shared" ref="D20:J20" si="1">D19/$K$19*100</f>
        <v>3.75</v>
      </c>
      <c r="E20" s="3">
        <f t="shared" si="1"/>
        <v>37.5</v>
      </c>
      <c r="F20" s="3">
        <f t="shared" si="1"/>
        <v>0</v>
      </c>
      <c r="G20" s="3">
        <f t="shared" si="1"/>
        <v>0</v>
      </c>
      <c r="H20" s="3">
        <f t="shared" si="1"/>
        <v>55.000000000000007</v>
      </c>
      <c r="I20" s="3">
        <f t="shared" si="1"/>
        <v>3.75</v>
      </c>
      <c r="J20" s="3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O27"/>
  <sheetViews>
    <sheetView workbookViewId="0"/>
  </sheetViews>
  <sheetFormatPr baseColWidth="10" defaultColWidth="12.6640625" defaultRowHeight="15.75" customHeight="1" x14ac:dyDescent="0.15"/>
  <cols>
    <col min="2" max="2" width="6.6640625" customWidth="1"/>
    <col min="3" max="3" width="7.83203125" customWidth="1"/>
    <col min="4" max="4" width="8.1640625" customWidth="1"/>
    <col min="5" max="5" width="6.6640625" customWidth="1"/>
    <col min="6" max="6" width="4.33203125" customWidth="1"/>
    <col min="7" max="7" width="7.5" customWidth="1"/>
    <col min="8" max="8" width="5" customWidth="1"/>
    <col min="9" max="9" width="5.33203125" customWidth="1"/>
    <col min="10" max="10" width="7.1640625" customWidth="1"/>
  </cols>
  <sheetData>
    <row r="2" spans="1:15" ht="15.75" customHeight="1" x14ac:dyDescent="0.15">
      <c r="A2" s="3" t="s">
        <v>54</v>
      </c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M2" s="3" t="s">
        <v>0</v>
      </c>
      <c r="N2" s="3" t="s">
        <v>1</v>
      </c>
      <c r="O2" s="3" t="s">
        <v>2</v>
      </c>
    </row>
    <row r="3" spans="1:15" ht="15.75" customHeight="1" x14ac:dyDescent="0.15">
      <c r="A3" s="3" t="s">
        <v>18</v>
      </c>
      <c r="E3" s="3">
        <v>1</v>
      </c>
      <c r="M3" s="3">
        <f>SUM(C26:E26)/K26*100</f>
        <v>86.956521739130437</v>
      </c>
      <c r="N3" s="3">
        <f>G26/K26*100</f>
        <v>8.695652173913043</v>
      </c>
      <c r="O3" s="3">
        <f>H26/K26*100</f>
        <v>4.3478260869565215</v>
      </c>
    </row>
    <row r="4" spans="1:15" ht="15.75" customHeight="1" x14ac:dyDescent="0.15">
      <c r="C4" s="3">
        <v>1</v>
      </c>
    </row>
    <row r="5" spans="1:15" ht="15.75" customHeight="1" x14ac:dyDescent="0.15">
      <c r="D5" s="3">
        <v>1</v>
      </c>
    </row>
    <row r="6" spans="1:15" ht="15.75" customHeight="1" x14ac:dyDescent="0.15">
      <c r="E6" s="3">
        <v>1</v>
      </c>
    </row>
    <row r="7" spans="1:15" ht="15.75" customHeight="1" x14ac:dyDescent="0.15">
      <c r="E7" s="3">
        <v>1</v>
      </c>
    </row>
    <row r="8" spans="1:15" ht="15.75" customHeight="1" x14ac:dyDescent="0.15">
      <c r="C8" s="3">
        <v>1</v>
      </c>
    </row>
    <row r="9" spans="1:15" ht="15.75" customHeight="1" x14ac:dyDescent="0.15">
      <c r="C9" s="3">
        <v>1</v>
      </c>
    </row>
    <row r="10" spans="1:15" ht="15.75" customHeight="1" x14ac:dyDescent="0.15">
      <c r="E10" s="3">
        <v>1</v>
      </c>
    </row>
    <row r="11" spans="1:15" ht="15.75" customHeight="1" x14ac:dyDescent="0.15">
      <c r="E11" s="3">
        <v>1</v>
      </c>
    </row>
    <row r="12" spans="1:15" ht="15.75" customHeight="1" x14ac:dyDescent="0.15">
      <c r="H12" s="3">
        <v>1</v>
      </c>
    </row>
    <row r="13" spans="1:15" ht="15.75" customHeight="1" x14ac:dyDescent="0.15">
      <c r="E13" s="3">
        <v>1</v>
      </c>
    </row>
    <row r="14" spans="1:15" ht="15.75" customHeight="1" x14ac:dyDescent="0.15">
      <c r="E14" s="3">
        <v>1</v>
      </c>
    </row>
    <row r="15" spans="1:15" ht="15.75" customHeight="1" x14ac:dyDescent="0.15">
      <c r="E15" s="3">
        <v>1</v>
      </c>
    </row>
    <row r="16" spans="1:15" ht="15.75" customHeight="1" x14ac:dyDescent="0.15">
      <c r="E16" s="3">
        <v>1</v>
      </c>
    </row>
    <row r="17" spans="1:11" ht="15.75" customHeight="1" x14ac:dyDescent="0.15">
      <c r="E17" s="3">
        <v>1</v>
      </c>
    </row>
    <row r="18" spans="1:11" ht="15.75" customHeight="1" x14ac:dyDescent="0.15">
      <c r="D18" s="3">
        <v>1</v>
      </c>
    </row>
    <row r="19" spans="1:11" ht="15.75" customHeight="1" x14ac:dyDescent="0.15">
      <c r="G19" s="3">
        <v>1</v>
      </c>
    </row>
    <row r="20" spans="1:11" ht="15.75" customHeight="1" x14ac:dyDescent="0.15">
      <c r="G20" s="3">
        <v>1</v>
      </c>
    </row>
    <row r="21" spans="1:11" ht="15.75" customHeight="1" x14ac:dyDescent="0.15">
      <c r="E21" s="3">
        <v>1</v>
      </c>
    </row>
    <row r="22" spans="1:11" ht="15.75" customHeight="1" x14ac:dyDescent="0.15">
      <c r="E22" s="3">
        <v>1</v>
      </c>
    </row>
    <row r="23" spans="1:11" ht="15.75" customHeight="1" x14ac:dyDescent="0.15">
      <c r="D23" s="3">
        <v>1</v>
      </c>
    </row>
    <row r="24" spans="1:11" ht="15.75" customHeight="1" x14ac:dyDescent="0.15">
      <c r="C24" s="3">
        <v>1</v>
      </c>
    </row>
    <row r="25" spans="1:11" ht="15.75" customHeight="1" x14ac:dyDescent="0.15">
      <c r="E25" s="3">
        <v>1</v>
      </c>
    </row>
    <row r="26" spans="1:11" ht="15.75" customHeight="1" x14ac:dyDescent="0.15">
      <c r="A26" s="3" t="s">
        <v>46</v>
      </c>
      <c r="C26" s="3">
        <f t="shared" ref="C26:J26" si="0">SUM(C3:C25)</f>
        <v>4</v>
      </c>
      <c r="D26" s="3">
        <f t="shared" si="0"/>
        <v>3</v>
      </c>
      <c r="E26" s="3">
        <f t="shared" si="0"/>
        <v>13</v>
      </c>
      <c r="F26" s="3">
        <f t="shared" si="0"/>
        <v>0</v>
      </c>
      <c r="G26" s="3">
        <f t="shared" si="0"/>
        <v>2</v>
      </c>
      <c r="H26" s="3">
        <f t="shared" si="0"/>
        <v>1</v>
      </c>
      <c r="I26" s="3">
        <f t="shared" si="0"/>
        <v>0</v>
      </c>
      <c r="J26" s="3">
        <f t="shared" si="0"/>
        <v>0</v>
      </c>
      <c r="K26" s="3">
        <f>SUM(B26:J26)</f>
        <v>23</v>
      </c>
    </row>
    <row r="27" spans="1:11" ht="15.75" customHeight="1" x14ac:dyDescent="0.15">
      <c r="C27" s="3">
        <f t="shared" ref="C27:J27" si="1">100*C26/$K$26</f>
        <v>17.391304347826086</v>
      </c>
      <c r="D27" s="3">
        <f t="shared" si="1"/>
        <v>13.043478260869565</v>
      </c>
      <c r="E27" s="3">
        <f t="shared" si="1"/>
        <v>56.521739130434781</v>
      </c>
      <c r="F27" s="3">
        <f t="shared" si="1"/>
        <v>0</v>
      </c>
      <c r="G27" s="3">
        <f t="shared" si="1"/>
        <v>8.695652173913043</v>
      </c>
      <c r="H27" s="3">
        <f t="shared" si="1"/>
        <v>4.3478260869565215</v>
      </c>
      <c r="I27" s="3">
        <f t="shared" si="1"/>
        <v>0</v>
      </c>
      <c r="J27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compare</vt:lpstr>
      <vt:lpstr>IB AA HL</vt:lpstr>
      <vt:lpstr>AP Calc BC</vt:lpstr>
      <vt:lpstr>GaoKao</vt:lpstr>
      <vt:lpstr>CBSE</vt:lpstr>
      <vt:lpstr>HKDSE</vt:lpstr>
      <vt:lpstr>Analysis I</vt:lpstr>
      <vt:lpstr>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CHARLOTTE H.Y.C. (Student)</cp:lastModifiedBy>
  <dcterms:modified xsi:type="dcterms:W3CDTF">2026-07-21T13:21:19Z</dcterms:modified>
</cp:coreProperties>
</file>